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6800" tabRatio="724"/>
  </bookViews>
  <sheets>
    <sheet name="BOQ" sheetId="30" r:id="rId1"/>
    <sheet name="CHI TIẾT TỦ" sheetId="31" r:id="rId2"/>
  </sheets>
  <definedNames>
    <definedName name="_xlnm.Print_Area" localSheetId="0">BOQ!$A$1:$K$179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<sst xmlns="http://schemas.openxmlformats.org/spreadsheetml/2006/main" count="728" uniqueCount="297">
  <si>
    <r>
      <rPr>
        <b/>
        <sz val="15"/>
        <rFont val="Times New Roman"/>
        <charset val="134"/>
      </rPr>
      <t>CÔNG TY TNHH KỸ THUẬT ĐIỆN VÀ CÔNG NGHỆ MÔI TRƯỜNG DH</t>
    </r>
    <r>
      <rPr>
        <b/>
        <sz val="12"/>
        <rFont val="Times New Roman"/>
        <charset val="134"/>
      </rPr>
      <t xml:space="preserve">
</t>
    </r>
    <r>
      <rPr>
        <b/>
        <sz val="13"/>
        <color rgb="FFFF3300"/>
        <rFont val="Arial"/>
        <charset val="134"/>
      </rPr>
      <t xml:space="preserve">	</t>
    </r>
    <r>
      <rPr>
        <b/>
        <sz val="13"/>
        <color rgb="FFFF3300"/>
        <rFont val="Times New Roman"/>
        <charset val="134"/>
      </rPr>
      <t>Văn phòng : Khu B - KĐT Geleximco - Xã An Khánh - TP.Hà Nội</t>
    </r>
    <r>
      <rPr>
        <b/>
        <sz val="13"/>
        <rFont val="Times New Roman"/>
        <charset val="134"/>
      </rPr>
      <t xml:space="preserve">
</t>
    </r>
    <r>
      <rPr>
        <b/>
        <sz val="13"/>
        <color rgb="FF0070C0"/>
        <rFont val="Arial"/>
        <charset val="134"/>
      </rPr>
      <t xml:space="preserve">	</t>
    </r>
    <r>
      <rPr>
        <b/>
        <sz val="13"/>
        <color rgb="FF0070C0"/>
        <rFont val="Times New Roman"/>
        <charset val="134"/>
      </rPr>
      <t>Nhà máy : Khu công nghiệp Minh Lãng, Xã Thư Trì, Tỉnh Hưng Yê</t>
    </r>
    <r>
      <rPr>
        <b/>
        <sz val="13"/>
        <rFont val="Times New Roman"/>
        <charset val="134"/>
      </rPr>
      <t xml:space="preserve">n
</t>
    </r>
    <r>
      <rPr>
        <b/>
        <sz val="13"/>
        <rFont val="Arial"/>
        <charset val="134"/>
      </rPr>
      <t xml:space="preserve">	</t>
    </r>
    <r>
      <rPr>
        <b/>
        <sz val="13"/>
        <rFont val="Times New Roman"/>
        <charset val="134"/>
      </rPr>
      <t>Tel : 0246 260 4053     Hotline : 0985 58 3535</t>
    </r>
    <r>
      <rPr>
        <b/>
        <sz val="13"/>
        <color rgb="FF008000"/>
        <rFont val="Times New Roman"/>
        <charset val="134"/>
      </rPr>
      <t xml:space="preserve">
</t>
    </r>
    <r>
      <rPr>
        <b/>
        <sz val="13"/>
        <color rgb="FF333399"/>
        <rFont val="Times New Roman"/>
        <charset val="134"/>
      </rPr>
      <t xml:space="preserve"> </t>
    </r>
    <r>
      <rPr>
        <b/>
        <sz val="13"/>
        <color rgb="FF333399"/>
        <rFont val="Arial"/>
        <charset val="134"/>
      </rPr>
      <t xml:space="preserve">	</t>
    </r>
    <r>
      <rPr>
        <b/>
        <sz val="13"/>
        <color rgb="FF333399"/>
        <rFont val="Times New Roman"/>
        <charset val="134"/>
      </rPr>
      <t>E-mail : dhcompany102@gmail.com - Website: http://dhcompany.com.vn</t>
    </r>
  </si>
  <si>
    <t xml:space="preserve">BẢNG CHÀO GIÁ </t>
  </si>
  <si>
    <t>Hạng mục: Trung thế, Trạm biến áp; Chiếu sáng, Cấp nước</t>
  </si>
  <si>
    <t>Dự án: Xây dựng nhà ở cho lực lượng vũ trang nhân dân</t>
  </si>
  <si>
    <t>Địa điểm: Khu đất ký hiệu C3 Thuộc quy hoạch phân khu đô thị S3, xã Sơn Đồng, thành phố Hà Nội</t>
  </si>
  <si>
    <t>Stt
No</t>
  </si>
  <si>
    <t>Mô tả
Desciption</t>
  </si>
  <si>
    <t>Mã Hiệu</t>
  </si>
  <si>
    <t>Xuất xứ</t>
  </si>
  <si>
    <t>Đơn vị
Unit</t>
  </si>
  <si>
    <t>Số lượng
Quantity</t>
  </si>
  <si>
    <t>Đơn giá</t>
  </si>
  <si>
    <t>Thành tiền</t>
  </si>
  <si>
    <t>Ghi chú
Remark</t>
  </si>
  <si>
    <t>Vật tư</t>
  </si>
  <si>
    <t>Nhân công</t>
  </si>
  <si>
    <t>Tổng</t>
  </si>
  <si>
    <t>A</t>
  </si>
  <si>
    <t>ĐƯỜNG DÂY TRUNG THẾ VÀ TBA</t>
  </si>
  <si>
    <t>I</t>
  </si>
  <si>
    <t>CÁP TRUNG THẾ 24KV</t>
  </si>
  <si>
    <t>Cáp ngầm trung thế 24KV-Cu/XLPE/PVC/DSTA/PVC-W-(3x240)MM2</t>
  </si>
  <si>
    <t>Cadisun/LS</t>
  </si>
  <si>
    <t>m</t>
  </si>
  <si>
    <t>Ống HDPE D195/150</t>
  </si>
  <si>
    <t>Santo/Thành Công</t>
  </si>
  <si>
    <t>Ống thép đen DN250 dày 4,78mm</t>
  </si>
  <si>
    <t>Hòa Phát/Việt Đức</t>
  </si>
  <si>
    <t>Mốc báo hiệu cáp</t>
  </si>
  <si>
    <t>Việt Nam</t>
  </si>
  <si>
    <t>Cái</t>
  </si>
  <si>
    <t>Rãnh cáp trung thế dưới hè (bao gồm: Đào, đắp, cát đen, gạch chỉ, băng báo hiệu cáp) không bao gồm hoàn trả vỉa hè</t>
  </si>
  <si>
    <t>Rãnh cáp trung thế dưới đường (bao gồm: Đào, đắp, cát đen, gạch chỉ, băng báo hiệu cáp)- không bao gồm hoàn trả bê tông asphalt</t>
  </si>
  <si>
    <t>Hố ga kéo cáp 1,2x1,2m</t>
  </si>
  <si>
    <t>Hố</t>
  </si>
  <si>
    <t>Lỗ mở 2xD200</t>
  </si>
  <si>
    <t>Lỗ</t>
  </si>
  <si>
    <t>NT XD thực hiện</t>
  </si>
  <si>
    <t>Chống thấm vị trí luồn cáp qua tường vây tầng hầm</t>
  </si>
  <si>
    <t>Thang cáp trung thế 300x100x1,2</t>
  </si>
  <si>
    <t>Hộp nối cáp ngầm 24kV - 3x240mm2</t>
  </si>
  <si>
    <t>3M</t>
  </si>
  <si>
    <t>Bộ</t>
  </si>
  <si>
    <t>Đầu cáp Tplug 24kV 3x240mm2</t>
  </si>
  <si>
    <t>Vật tư phụ hoàn thiện (đai treo, quang treo, giá đỡ, ty ren, nở đạn, bulong, đai ốc, long đen,  dây thít, lạt buộc, băng dính cách điện, bịt chống chuột …...)</t>
  </si>
  <si>
    <t>Lô</t>
  </si>
  <si>
    <t>II</t>
  </si>
  <si>
    <t>TRẠM KIOSK 1600kVA 22/0.4kV</t>
  </si>
  <si>
    <t>Vỏ trạm Kiosk 1600KVA - 22/0.4KV
Kích thước dự kiến: C2900*D5000*R3600mm ( kích thước dự kiến )
Tôn dày 1.5, 2, 3mm, sơn tĩnh điện
Bao gồm đèn chiếu sáng và quạt làm mát</t>
  </si>
  <si>
    <t>DH/Việt Nam</t>
  </si>
  <si>
    <t>Tủ trung thế 03 ngăn 24kV bao gồm</t>
  </si>
  <si>
    <t>ABB/Trung Quốc</t>
  </si>
  <si>
    <t>Tủ</t>
  </si>
  <si>
    <t>+</t>
  </si>
  <si>
    <t>Khoang cầu dao phụ tải vào/ra mạch vòng trung thế bao gồm: 
- Cầu dao LBS 24kV 630A, khả năng chịu đựng ngắn mạch 20kA/3s, kèm dao nối đất, bộ báo sự cố đầu cáp (EKL), chống sét van 24kV, sấy nhiệt, vỏ tủ, thanh cái</t>
  </si>
  <si>
    <t>CC</t>
  </si>
  <si>
    <t>ngăn</t>
  </si>
  <si>
    <t>Khoang máy cắt bảo vệ MBA bao gồm: 
- Máy cắt VCB 24kV 630A, khả năng chịu đựng ngắn mạch 20kA/3s, kèm cầu dao cách ly &amp; dao nối đất, rơ le bảo vệ kỹ thuật số (chức năng 50/51, 50N/51N, 49, 86) cấp nguồn ngoài, biến dòng CT(3 cái), sấy nhiệt, vỏ tủ, thanh cái
Bộ lưu điện online 2kVA</t>
  </si>
  <si>
    <t>V</t>
  </si>
  <si>
    <t>Thiết bị thu thập dữ liệu và điều khiển từ xa SCADA (kết nối mạng truyền thông Điện lực</t>
  </si>
  <si>
    <t>SCADA điều khiển đóng cắt, giám sát trạng thái đóng cắt, đo lường U,I,P,Q, cho 2 ngăn cầu dao tủ RMU ABB 24kV gồm:
- RTU 530 ABB(Hitachi) kèm Module I/O
- 01 Router M!DGE3 (Racom)
- Hệ thống nguồn 24VDC
- 02 bộ báo sự cố tích hợp đo lường
- 02 bộ báo điện áp DXN13-Q
- 02 bộ động cơ 24VDC
- Ắc quy và vật tư phụ khác
Không bao gồm đồng hồ báo khí có tiếp điểm</t>
  </si>
  <si>
    <t>Hệ thống</t>
  </si>
  <si>
    <t>Máy biến áp dầu 1600kVA - 22/0,4kV, dây đồng tiêu chuẩn, đáp ứng TC8525-2015</t>
  </si>
  <si>
    <t>MBT /Việt Nam</t>
  </si>
  <si>
    <t>Máy</t>
  </si>
  <si>
    <t>Tủ điện hạ thế phân phối 2500A TBA NOXH T1</t>
  </si>
  <si>
    <t>Tủ điện hạ thế phân phối 2500A TBA NOXH T2</t>
  </si>
  <si>
    <t>Tủ điện hạ thế phân phối 2500A TBA NOXH T3</t>
  </si>
  <si>
    <t>Tủ điện hạ thế phân phối 2500A TBA NOTM T1</t>
  </si>
  <si>
    <t>Cáp trung thế 24KV CU/PVC/XLPE 1x70mm2 từ khoang trung thế đến MBA</t>
  </si>
  <si>
    <t>Cáp hạ thế 0.6/1KV CU/PVC/XLPE 1x300MM2 từ khoang MBA đến tủ hạ thế</t>
  </si>
  <si>
    <t>Đầu cáp Tplug 24kV 3x1x70mm2</t>
  </si>
  <si>
    <t>Đầu cáp Eblow24kV 3x1x70mm2</t>
  </si>
  <si>
    <t>Đầu cốt 300 + chụp đầu cốt</t>
  </si>
  <si>
    <t>Móng Trạm Kios</t>
  </si>
  <si>
    <t>Móng</t>
  </si>
  <si>
    <t>Hệ thống tiếp địa TBA</t>
  </si>
  <si>
    <t>Trạm</t>
  </si>
  <si>
    <t>Biển báo tên trạm</t>
  </si>
  <si>
    <t>Biển báo an toàn</t>
  </si>
  <si>
    <t>Biển đầu cáp, tên lộ</t>
  </si>
  <si>
    <t>III</t>
  </si>
  <si>
    <t>Chi phí thí nghiệm, thủ tục xin phép, đấu nối, nghiệm thu đóng điện</t>
  </si>
  <si>
    <t>Chi phí thí nghiệm</t>
  </si>
  <si>
    <t>Chi phí xin thỏa thuận đấu nối TBA</t>
  </si>
  <si>
    <t>Gói</t>
  </si>
  <si>
    <t>Xin Quy hoạch công suất TBA</t>
  </si>
  <si>
    <t>Thiết kế bản vẽ thi công TBA</t>
  </si>
  <si>
    <t>Chi phí đăng ký cắt điện, đấu nối, nghiệm thu TBA</t>
  </si>
  <si>
    <t>Chi phí giám sát an toàn</t>
  </si>
  <si>
    <t>Chi phí chỉnh định rơ le máy cắt tủ RMU + Quyết định đánh số TB</t>
  </si>
  <si>
    <t>B</t>
  </si>
  <si>
    <t>CHIẾU SÁNG</t>
  </si>
  <si>
    <t>Rãnh cáp chiếu sáng trên hè loại đơn</t>
  </si>
  <si>
    <t xml:space="preserve">Đào đất mương cáp </t>
  </si>
  <si>
    <t>m3</t>
  </si>
  <si>
    <t>Lấp cát mương cáp</t>
  </si>
  <si>
    <t>100m3</t>
  </si>
  <si>
    <t>Lấp đất mương cáp</t>
  </si>
  <si>
    <t>Vận chuyển đất thừa đổ đi cự li trung bình 1km</t>
  </si>
  <si>
    <t>Bảo vệ cáp ngầm. Băng cảnh báo cáp</t>
  </si>
  <si>
    <t>md</t>
  </si>
  <si>
    <t>Rãnh cáp chiếu sáng qua đường loại đơn</t>
  </si>
  <si>
    <t>Cột đèn bát giác côn cần rời, đèn đơn 8m+móng cột</t>
  </si>
  <si>
    <t xml:space="preserve">Đào đất móng cột, tiếp địa </t>
  </si>
  <si>
    <t>Lấp đất móng cột, tiếp địa</t>
  </si>
  <si>
    <t>Ván khuôn cho bê tông đổ tại chỗ, ván khuôn móng cột</t>
  </si>
  <si>
    <t>100m2</t>
  </si>
  <si>
    <t>Bê tông lót móng cột, chiều rộng móng &lt;=250 cm, đá 1x2, mác 100</t>
  </si>
  <si>
    <t>Bê tông móng cột, chiều rộng móng &lt;=250 cm, đá 1x2, mác 200</t>
  </si>
  <si>
    <t>Lắp đặt cọc tiếp địa thép L63x63x6, L = 2500mm</t>
  </si>
  <si>
    <t>Cọc</t>
  </si>
  <si>
    <t>Lắp đặt dây tiếp địa, thép mạ kẽm nhúng nóng D10</t>
  </si>
  <si>
    <t>Tai bắt tiếp dịa, thép dẹt 40*4 dài 100mm</t>
  </si>
  <si>
    <t>Cung cấp và lắp đặt  khung móng M24x300x300x675mm</t>
  </si>
  <si>
    <t>bộ</t>
  </si>
  <si>
    <t>Lắp dựng thân trụ đèn chiếu sáng cao 7m  (mạ kẽm nhúng nóng)</t>
  </si>
  <si>
    <t>Hapulico/Tương đương</t>
  </si>
  <si>
    <t>Lắp Cần đèn đơn cao 2m, vươn cần 1.5m</t>
  </si>
  <si>
    <t>cần</t>
  </si>
  <si>
    <t>Đèn LED 150W Dim 5 cấp công suất có chống sét lan truyền  15kA-30kV class2, lắp trên cột đèn 9m</t>
  </si>
  <si>
    <t>Dây lên đèn 3x2,5mm2</t>
  </si>
  <si>
    <t>Ống mềm luồn dây lên đèn PVC D16</t>
  </si>
  <si>
    <t>Vanlock/Sino</t>
  </si>
  <si>
    <t>Bảng điện cửa cột (bao gồm Aptomat 2P-6A 4,5kA, cầu đấu 4P-60A)</t>
  </si>
  <si>
    <t>Cáp CU/XLPE/PVC/DSTA/PVC 4x6 mm2</t>
  </si>
  <si>
    <t>Cáp CU/XLPE/PVC/DSTA/PVC 4x4 mm2</t>
  </si>
  <si>
    <t>Dây đồng M4 nối tiếp địa liên hoàn</t>
  </si>
  <si>
    <t>Ống nhựa xoắn HDPE D40/30</t>
  </si>
  <si>
    <t>Ống thép đen DN50 dày 3mm</t>
  </si>
  <si>
    <t>Vật tư phụ (Đầu cos, băng dính, keo bọt…)</t>
  </si>
  <si>
    <t>gói</t>
  </si>
  <si>
    <t>Tủ điều khiển chiếu sáng</t>
  </si>
  <si>
    <t>Đào đất móng tủ</t>
  </si>
  <si>
    <t>Lấp đất móng tủ</t>
  </si>
  <si>
    <t>Đổ bê tông thủ công bằng máy trộn, bê tông móng, đá 1x2, mác 150</t>
  </si>
  <si>
    <t>Ván khuôn phủ phin Ván khuôn móng cột</t>
  </si>
  <si>
    <t>cọc</t>
  </si>
  <si>
    <t>Khung móng tủ điện M16x500*200*660</t>
  </si>
  <si>
    <t>tủ</t>
  </si>
  <si>
    <t>C</t>
  </si>
  <si>
    <t>CẤP NƯỚC</t>
  </si>
  <si>
    <t>Ống HDPE DN400 PN10 (PE100 )</t>
  </si>
  <si>
    <t>Đệ Nhất/ Europipe</t>
  </si>
  <si>
    <t>Ống HDPE DN200 PN10 (PE100 )</t>
  </si>
  <si>
    <t>Ống HDPE DN160 PN10 (PE100 )</t>
  </si>
  <si>
    <t>Ống HDPE D40 PN10 (PE100 )</t>
  </si>
  <si>
    <t>Ống HDPE D90 PN10 (PE100 )</t>
  </si>
  <si>
    <t>Van BB DN200</t>
  </si>
  <si>
    <t>cái</t>
  </si>
  <si>
    <t>Van BB DN150</t>
  </si>
  <si>
    <t>Tê HDPE D400/200</t>
  </si>
  <si>
    <t>Tê HDPE D200</t>
  </si>
  <si>
    <t>Tê HDPE D200/160</t>
  </si>
  <si>
    <t>Tê HDPE D160</t>
  </si>
  <si>
    <t>Tê HDPE D200/110</t>
  </si>
  <si>
    <t>Tê HDPE D160/110</t>
  </si>
  <si>
    <t>Tê HDPE D200/90</t>
  </si>
  <si>
    <t>Chếch HDPE D160</t>
  </si>
  <si>
    <t>Côn thu HDPE D160/110</t>
  </si>
  <si>
    <t>Cút HDPE D110</t>
  </si>
  <si>
    <t>Đai khởi thuỷ HDPE D160/40</t>
  </si>
  <si>
    <t>Cút 90 HDPE 1 đầu ren ngoài D40x1.1/2''</t>
  </si>
  <si>
    <t>Nút bịt HDPE D200</t>
  </si>
  <si>
    <t>Đầu nối bích HDPE D200</t>
  </si>
  <si>
    <t>Đầu nối bích HDPE D160</t>
  </si>
  <si>
    <t>Khớp nối mềm BE DN200</t>
  </si>
  <si>
    <t>Khớp nối mềm BE DN160</t>
  </si>
  <si>
    <t>Bích rỗng inox 304 TC BS PN16 D200</t>
  </si>
  <si>
    <t>Bích rỗng inox 304 TC BS PN16 D150</t>
  </si>
  <si>
    <t>Bulong, đai ốc mạ kẽm M20x12</t>
  </si>
  <si>
    <t>Thử áp đường ống các loại</t>
  </si>
  <si>
    <t>Khử trùng đường ống cấp nước</t>
  </si>
  <si>
    <t>Cụm van chặn</t>
  </si>
  <si>
    <t xml:space="preserve">Ván khuôn </t>
  </si>
  <si>
    <t>m2</t>
  </si>
  <si>
    <t>Bê tông đá 1x2, mác 200</t>
  </si>
  <si>
    <t>Ống uPVC D110 PN6 chụp ty van</t>
  </si>
  <si>
    <t>Lắp đặt chụp van gang</t>
  </si>
  <si>
    <t>Cụm đồng hồ đấu cấp nước tưới cây, khu dịch vụ DN32</t>
  </si>
  <si>
    <t>Măng sông HDPE 1 đầu ren ngoài D40x1.1/2''</t>
  </si>
  <si>
    <t>Ống nhựa HDPE D40 PN10 (PE100)</t>
  </si>
  <si>
    <t>Cút góc HDPE D40</t>
  </si>
  <si>
    <t>Van cửa đồng ren trong DN40</t>
  </si>
  <si>
    <t>Lắp đặt đồng hồ cấp nước DN32</t>
  </si>
  <si>
    <t>Van đồng 1 chiều DN40</t>
  </si>
  <si>
    <t>Hộp đồng hồ nước
+ Kích thước dự kiến: H240xW600xD220mm.
+ Chế tạo bằng tôn dày 1,5 mm
+ Sơn tĩnh điện màu RAL9010
+ Tiêu chuẩn sản xuất IEC61439, ISO9001:2015</t>
  </si>
  <si>
    <t>Cụm đồng hồ nước DN80, DN150</t>
  </si>
  <si>
    <t>Chưa có bản vẽ chi tiết</t>
  </si>
  <si>
    <t>Trụ cứu hỏa</t>
  </si>
  <si>
    <t xml:space="preserve">Đào đất </t>
  </si>
  <si>
    <t>Đắp đất K=0,95</t>
  </si>
  <si>
    <t>Vận chuyển đất thừa đổ đi cự ly trung bình 1km</t>
  </si>
  <si>
    <t>Ống nhựa HDPE D110</t>
  </si>
  <si>
    <t>Van BB DN100</t>
  </si>
  <si>
    <t>Đầu nối bích HDPE D110</t>
  </si>
  <si>
    <t>Mối nối mềm BE DN100</t>
  </si>
  <si>
    <t>Bích rỗng inox 304 TC BS PN16 D100</t>
  </si>
  <si>
    <t>Trụ cứu hoả, đường kính trụ d=100mm ( loại 3 họng xả 1 họng D100, 2 họng D65 )</t>
  </si>
  <si>
    <t>Chụp van gang</t>
  </si>
  <si>
    <t>Đào, đắp ống</t>
  </si>
  <si>
    <t>Đắp cát K=0,9</t>
  </si>
  <si>
    <t>Bê tông tấm đan M200, đá 1x2</t>
  </si>
  <si>
    <t>Ván khuôn tấm đan</t>
  </si>
  <si>
    <t>SXLD cốt thép tấm đan đường kính d&lt;=10mm</t>
  </si>
  <si>
    <t>tấn</t>
  </si>
  <si>
    <t>Lắp đặt tấm đan, cấu kiện bê tông đúc sẵn KT:500x500x80</t>
  </si>
  <si>
    <t>Tấm</t>
  </si>
  <si>
    <t xml:space="preserve">Gối đỡ </t>
  </si>
  <si>
    <t>Bê tông đá 2x4, mác 100</t>
  </si>
  <si>
    <t>Đai giữ ống 50x6</t>
  </si>
  <si>
    <t>Bu lông M16x350</t>
  </si>
  <si>
    <t>Tổng cộng trước thuế</t>
  </si>
  <si>
    <t>Thuế VAT 8%</t>
  </si>
  <si>
    <t>Tổng cộng sau thuế</t>
  </si>
  <si>
    <t>BẢNG KÊ THÔNG KÊ THIẾT BỊ</t>
  </si>
  <si>
    <t>STT</t>
  </si>
  <si>
    <t>MÔ TẢ</t>
  </si>
  <si>
    <t>MÃ SẢN PHẨM</t>
  </si>
  <si>
    <t>HÃNG SẢN XUẤT</t>
  </si>
  <si>
    <t>ĐƠN VỊ</t>
  </si>
  <si>
    <t>KHỐI LƯỢNG
TKTC</t>
  </si>
  <si>
    <t>GHI CHÚ</t>
  </si>
  <si>
    <t>TBA  CHO KHU NOXH CT02A, CT02B.1, CT02B.2</t>
  </si>
  <si>
    <t>TỦ HẠ THẾ  TBA T1</t>
  </si>
  <si>
    <t>K/L cho 1 tòa</t>
  </si>
  <si>
    <t>Tủ điện LV4.1</t>
  </si>
  <si>
    <t>Đầu vào</t>
  </si>
  <si>
    <t>Cầu chì 1P 2A</t>
  </si>
  <si>
    <t>Asia</t>
  </si>
  <si>
    <t xml:space="preserve">Cái        </t>
  </si>
  <si>
    <t>Đèn báo pha (Đỏ, vàng, xanh)</t>
  </si>
  <si>
    <t>Schneider</t>
  </si>
  <si>
    <t xml:space="preserve">Công tơ điện 3P hữu công </t>
  </si>
  <si>
    <t>Emic</t>
  </si>
  <si>
    <t>Khách hang cấp</t>
  </si>
  <si>
    <t xml:space="preserve">Công tơ điện 3P vô công </t>
  </si>
  <si>
    <t>Vỏ tủ Full type test IEC 61439-1&amp;2, IEC 61641 (Class C, 65kA/0,3s), loại trong nhà, sơn tĩnh điện, tôn dày 2.0mm, IP31, IK10, Form 3B
Kích thước: H600xW800xD250</t>
  </si>
  <si>
    <t>Nhà thầu cần tính toán lại kích thước tủ theo thiết bị thực tế</t>
  </si>
  <si>
    <t>Vật tư phụ, nhân công</t>
  </si>
  <si>
    <t>Tủ điện LV4.2</t>
  </si>
  <si>
    <t>ACB 4P 2500A 65kA</t>
  </si>
  <si>
    <t>MVS12H4MF2L</t>
  </si>
  <si>
    <t>Vôn kế (0-450V) kèm bộ chuyển mạch</t>
  </si>
  <si>
    <t>Taiwan</t>
  </si>
  <si>
    <t>Biến dòng 2500/5A</t>
  </si>
  <si>
    <t>1200/5A</t>
  </si>
  <si>
    <t>Đầu ra</t>
  </si>
  <si>
    <t>ACB 3P 2500A 50kA, bảo vệ quá tải - ngắn mạch, kết nối NFC</t>
  </si>
  <si>
    <t>MVS12N3MF2L</t>
  </si>
  <si>
    <t>MCCB 3P 160AF 160AT 36kA, Ue=440V, Ui=800V, Ics=100%Icu</t>
  </si>
  <si>
    <t>LV516333</t>
  </si>
  <si>
    <t>MCCB 3P 100AF 100AT 36kA, Ue=440V, Ui=800V, Ics=100%Icu</t>
  </si>
  <si>
    <t>LV510337</t>
  </si>
  <si>
    <t>MCCB 3P 100AF 63AT 36kA, Ue=440V, Ui=800V, Ics=100%Icu</t>
  </si>
  <si>
    <t>LV510335</t>
  </si>
  <si>
    <t>Chống sét van SPD 3P+N/PE Imax = 65kA, 8/20ms type 2</t>
  </si>
  <si>
    <t>HDY3N806</t>
  </si>
  <si>
    <t>Himel</t>
  </si>
  <si>
    <t>Thanh cái Cu 1250A 3P+N+E</t>
  </si>
  <si>
    <t>Vỏ tủ Full type test IEC 61439-1&amp;2, IEC 61641 (Class C, 65kA/0,3s), loại trong nhà, sơn tĩnh điện, tôn dày 2.0mm, IP31, IK10, Form 3B
Kích thước: H1200xW800xD250</t>
  </si>
  <si>
    <t>Tủ điện FC4</t>
  </si>
  <si>
    <t>ACB 3P 1250A 50kA, Ue=440V, Ui=800V, Ics=100%Icu</t>
  </si>
  <si>
    <t>LV563317</t>
  </si>
  <si>
    <t>MCCB 3P 125AT 50kA, Ue=440V, Ui=800V, Ics=100%Icu</t>
  </si>
  <si>
    <t>LV516332</t>
  </si>
  <si>
    <t>Contactor 3P 125A</t>
  </si>
  <si>
    <t>LC1DWK12M7</t>
  </si>
  <si>
    <t>Tụ bù 50kVar</t>
  </si>
  <si>
    <t>HBSM00450005003Q</t>
  </si>
  <si>
    <t>Cầu Chì 1P 5A</t>
  </si>
  <si>
    <t>Bộ điều khiển tụ bù APFC</t>
  </si>
  <si>
    <t>Mikro</t>
  </si>
  <si>
    <t xml:space="preserve">Vỏ tủ Full type test IEC 61439-1&amp;2, IEC 61641 (Class C, 65kA/0,3s), loại trong nhà, sơn tĩnh điện, tôn dày 2.0mm, IP31, IK10, Form 1
Kích thước: H2200xW1000xD800 </t>
  </si>
  <si>
    <t>Thanh cái Cu  3P+100%N+50%E</t>
  </si>
  <si>
    <t>TỦ HẠ THẾ  TBA T2 &amp; T3</t>
  </si>
  <si>
    <t>Vỏ tủ Full type test IEC 61439-1&amp;2, IEC 61641 (Class C, 65kA/0,3s), loại trong nhà, sơn tĩnh điện, tôn dày 2.0mm, IP31, IK10, Form 3B
Kích thước: H2200xW1000xD1000</t>
  </si>
  <si>
    <t>TBA  CHO KHU NOTM CT01</t>
  </si>
  <si>
    <t>TỦ HẠ THẾ TBA T1</t>
  </si>
  <si>
    <t>Tủ điện LV1.1</t>
  </si>
  <si>
    <t>XA2E</t>
  </si>
  <si>
    <t>Khách hàng cấp</t>
  </si>
  <si>
    <t>Vỏ tủ Full type test IEC 61439-1&amp;2, IEC 61641 (Class C, 65kA/0,3s), loại trong nhà, sơn tĩnh điện, tôn dày 2.0mm, IP31, IK10, Form 3B
Kích thước: H2200xW800xD1000</t>
  </si>
  <si>
    <t>Kích thước tham khảo, có thể điều chỉnh theo nhà thầu lắp đặt tủ điện &amp; kích thước thiết bị thực tế</t>
  </si>
  <si>
    <t>Tủ điện LV1.2</t>
  </si>
  <si>
    <t>MVS25H4MF2L</t>
  </si>
  <si>
    <t>ACB 3P 2500A 50kA, Ue=440V, Ui=800V, Ics=100%Icu</t>
  </si>
  <si>
    <t>MVS25N3MF2L</t>
  </si>
  <si>
    <t>MCCB 3P 100AF 40AT 36kA, Ue=440V, Ui=800V, Ics=100%Icu</t>
  </si>
  <si>
    <t>LV510333</t>
  </si>
  <si>
    <t>Chống sét van SPD 3P+N/PE Imax = 65kA, 8/20us type 1</t>
  </si>
  <si>
    <t>Cầu chì 125A</t>
  </si>
  <si>
    <t>Thanh cái Cu 1250A 3P+100%N+50%E</t>
  </si>
  <si>
    <t>Tủ điện FC1</t>
  </si>
  <si>
    <t>MCCB 3P 125AT 36kA, Ue=440V, Ui=800V, Ics=100%Icu</t>
  </si>
  <si>
    <t>PFR120</t>
  </si>
  <si>
    <t xml:space="preserve">Vỏ tủ Full type test IEC 61439-1&amp;2, IEC 61641 (Class C, 65kA/0,3s), loại trong nhà, sơn tĩnh điện, tôn dày 2.0mm, IP31, IK10, Form 1
Kích thước: H2200xW1000xD1000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</si>
</sst>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0">
    <numFmt numFmtId="5" formatCode="&quot;$&quot;#,##0_);\(&quot;$&quot;#,##0\)"/>
    <numFmt numFmtId="7" formatCode="&quot;$&quot;#,##0.00_);\(&quot;$&quot;#,##0.00\)"/>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_ * #,##0_ ;_ * \-#,##0_ ;_ * &quot;-&quot;_ ;_ @_ "/>
    <numFmt numFmtId="177" formatCode="_-* #,##0.00_-;\-* #,##0.00_-;_-* &quot;-&quot;??_-;_-@_-"/>
    <numFmt numFmtId="178" formatCode="_-* #,##0_-;\-* #,##0_-;_-* &quot;-&quot;_-;_-@_-"/>
    <numFmt numFmtId="179" formatCode="_-&quot;$&quot;* #,##0.00_-;\-&quot;$&quot;* #,##0.00_-;_-&quot;$&quot;* &quot;-&quot;??_-;_-@_-"/>
    <numFmt numFmtId="180" formatCode="_-&quot;$&quot;* #,##0_-;\-&quot;$&quot;* #,##0_-;_-&quot;$&quot;* &quot;-&quot;_-;_-@_-"/>
    <numFmt numFmtId="181" formatCode="_-&quot;\&quot;* #,##0.00_-;&quot;\&quot;\!\-&quot;\&quot;* #,##0.00_-;_-&quot;\&quot;* &quot;-&quot;??_-;_-@_-"/>
    <numFmt numFmtId="182" formatCode="_(* #,##0.00_);_(* \(#,##0.00\);_(* \-??_);_(@_)"/>
    <numFmt numFmtId="183" formatCode="yyyy&quot;年&quot;&quot;\&quot;&quot;\&quot;&quot;\&quot;&quot;\&quot;\ mm&quot;月&quot;&quot;\&quot;&quot;\&quot;&quot;\&quot;&quot;\&quot;\ dd&quot;日&quot;"/>
    <numFmt numFmtId="184" formatCode="&quot;\&quot;\ #,##0.00;[Red]&quot;\&quot;\ \-#,##0.00"/>
    <numFmt numFmtId="185" formatCode="#,##0.00&quot; F&quot;;[Red]\-#,##0.00&quot; F&quot;"/>
    <numFmt numFmtId="186" formatCode="&quot;$&quot;#,##0.00"/>
    <numFmt numFmtId="187" formatCode="&quot;$&quot;#,##0\ ;\(&quot;$&quot;#,##0\)"/>
    <numFmt numFmtId="188" formatCode="#,##0.0000000;[Red]&quot;-&quot;#,##0.0000000"/>
    <numFmt numFmtId="189" formatCode="_ * #,##0.00000000000_ ;_ * \-#,##0.00000000000_ ;_ * &quot;-&quot;_ ;_ @_ "/>
    <numFmt numFmtId="190" formatCode="_-* #,##0\ _D_M_-;\-* #,##0\ _D_M_-;_-* &quot;-&quot;\ _D_M_-;_-@_-"/>
    <numFmt numFmtId="191" formatCode="_-* #,##0.00\ _D_M_-;\-* #,##0.00\ _D_M_-;_-* &quot;-&quot;??\ _D_M_-;_-@_-"/>
    <numFmt numFmtId="192" formatCode="#,##0.000000000;[Red]&quot;-&quot;#,##0.000000000"/>
    <numFmt numFmtId="193" formatCode="#,##0.000\ &quot;EA &quot;"/>
    <numFmt numFmtId="194" formatCode="_ * #,##0.00000000_ ;_ * \-#,##0.00000000_ ;_ * &quot;-&quot;_ ;_ @_ "/>
    <numFmt numFmtId="195" formatCode="#,"/>
    <numFmt numFmtId="196" formatCode="_ * #,##0.0000000000_ ;_ * \-#,##0.0000000000_ ;_ * &quot;-&quot;_ ;_ @_ "/>
    <numFmt numFmtId="197" formatCode="#,##0.0_);\(#,##0.0\)"/>
    <numFmt numFmtId="198" formatCode="#,##0.000\ &quot;㎏ &quot;"/>
    <numFmt numFmtId="199" formatCode="#,##0.000\ &quot;m  &quot;"/>
    <numFmt numFmtId="200" formatCode="#,##0.000\ &quot;㎥ &quot;"/>
    <numFmt numFmtId="201" formatCode="#,##0.00&quot;?_);\(#,##0.00&quot;&quot;?&quot;\)"/>
    <numFmt numFmtId="202" formatCode="#,##0\ &quot;₫&quot;;\-#,##0\ &quot;₫&quot;"/>
    <numFmt numFmtId="203" formatCode="&quot;$&quot;#,##0;\-&quot;$&quot;#,##0"/>
    <numFmt numFmtId="204" formatCode="_-* #,##0\ &quot;DM&quot;_-;\-* #,##0\ &quot;DM&quot;_-;_-* &quot;-&quot;\ &quot;DM&quot;_-;_-@_-"/>
    <numFmt numFmtId="205" formatCode="_-* #,##0.00\ &quot;DM&quot;_-;\-* #,##0.00\ &quot;DM&quot;_-;_-* &quot;-&quot;??\ &quot;DM&quot;_-;_-@_-"/>
    <numFmt numFmtId="206" formatCode="##,##0"/>
    <numFmt numFmtId="207" formatCode="&quot;  &quot;@"/>
    <numFmt numFmtId="208" formatCode="_-* #,##0.00_-;\-* #,##0.00_-;_-* &quot;-&quot;_-;_-@_-"/>
    <numFmt numFmtId="209" formatCode="_-* #,##0.00_-;&quot;\&quot;&quot;\&quot;&quot;\&quot;&quot;\&quot;\-* #,##0.00_-;_-* &quot;-&quot;??_-;_-@_-"/>
    <numFmt numFmtId="210" formatCode="_ * #,##0.00_ ;_ * \-#,##0.00_ ;_ * &quot;-&quot;??_ ;_ @_ "/>
    <numFmt numFmtId="211" formatCode="&quot;￥&quot;#,##0;&quot;￥&quot;\-#,##0"/>
    <numFmt numFmtId="212" formatCode="00.000"/>
    <numFmt numFmtId="213" formatCode="&quot;\&quot;#,##0.00\ ;\(&quot;\&quot;#,##0.00\)"/>
    <numFmt numFmtId="214" formatCode="&quot;\&quot;#,##0;&quot;\&quot;\-#,##0"/>
    <numFmt numFmtId="215" formatCode="_(* #,##0_);_(* \(#,##0\);_(* &quot;-&quot;??_);_(@_)"/>
    <numFmt numFmtId="216" formatCode="#,##0\ _₫"/>
    <numFmt numFmtId="217" formatCode="_-* #,##0;\-#,##0;_-* &quot;&quot;_-;_-@_-"/>
    <numFmt numFmtId="218" formatCode="[$-409]d\-mmm\-yy"/>
    <numFmt numFmtId="219" formatCode="_-* #,##0.000;\-#,##0.000;_-* &quot;&quot;???_-;_-@_-"/>
  </numFmts>
  <fonts count="167">
    <font>
      <sz val="11"/>
      <color theme="1"/>
      <name val="Calibri"/>
      <charset val="134"/>
      <scheme val="minor"/>
    </font>
    <font>
      <sz val="11"/>
      <name val="Times New Roman"/>
      <charset val="134"/>
    </font>
    <font>
      <b/>
      <sz val="20"/>
      <name val="Times New Roman"/>
      <charset val="134"/>
    </font>
    <font>
      <b/>
      <sz val="11"/>
      <name val="Times New Roman"/>
      <charset val="134"/>
    </font>
    <font>
      <sz val="12"/>
      <name val="Times New Roman"/>
      <charset val="134"/>
    </font>
    <font>
      <b/>
      <sz val="11"/>
      <color rgb="FFFF0000"/>
      <name val="Times New Roman"/>
      <charset val="134"/>
    </font>
    <font>
      <sz val="11"/>
      <color rgb="FFFF0000"/>
      <name val="Times New Roman"/>
      <charset val="134"/>
    </font>
    <font>
      <sz val="10"/>
      <name val="Arial"/>
      <charset val="134"/>
    </font>
    <font>
      <sz val="12"/>
      <name val="Arial"/>
      <charset val="134"/>
    </font>
    <font>
      <b/>
      <sz val="12"/>
      <name val="Arial"/>
      <charset val="163"/>
    </font>
    <font>
      <sz val="10"/>
      <name val="Times New Roman"/>
      <charset val="134"/>
    </font>
    <font>
      <b/>
      <sz val="15"/>
      <name val="Times New Roman"/>
      <charset val="134"/>
    </font>
    <font>
      <b/>
      <sz val="12"/>
      <color rgb="FF00B050"/>
      <name val="Times New Roman"/>
      <charset val="134"/>
    </font>
    <font>
      <sz val="11"/>
      <color theme="1"/>
      <name val="Times New Roman"/>
      <charset val="134"/>
    </font>
    <font>
      <b/>
      <sz val="16"/>
      <name val="Times New Roman"/>
      <charset val="134"/>
    </font>
    <font>
      <b/>
      <sz val="13"/>
      <name val="Times New Roman"/>
      <charset val="134"/>
    </font>
    <font>
      <b/>
      <sz val="10"/>
      <color theme="1"/>
      <name val="Times New Roman"/>
      <charset val="134"/>
    </font>
    <font>
      <sz val="10"/>
      <color theme="1"/>
      <name val="Times New Roman"/>
      <charset val="134"/>
    </font>
    <font>
      <sz val="11"/>
      <color indexed="8"/>
      <name val="Times New Roman"/>
      <charset val="134"/>
    </font>
    <font>
      <sz val="11"/>
      <name val="Arial"/>
      <charset val="134"/>
    </font>
    <font>
      <b/>
      <sz val="11"/>
      <name val="Times New Roman"/>
      <charset val="163"/>
    </font>
    <font>
      <b/>
      <sz val="11"/>
      <color indexed="8"/>
      <name val="Times New Roman"/>
      <charset val="134"/>
    </font>
    <font>
      <sz val="11"/>
      <color rgb="FF000000"/>
      <name val="Times New Roman"/>
      <charset val="134"/>
    </font>
    <font>
      <b/>
      <sz val="12"/>
      <name val="Times New Roman"/>
      <charset val="134"/>
    </font>
    <font>
      <b/>
      <sz val="12"/>
      <color rgb="FFFF3300"/>
      <name val="Times New Roman"/>
      <charset val="134"/>
    </font>
    <font>
      <sz val="12"/>
      <color rgb="FFFF3300"/>
      <name val="Times New Roman"/>
      <charset val="134"/>
    </font>
    <font>
      <sz val="11"/>
      <color rgb="FFFF3300"/>
      <name val="Times New Roman"/>
      <charset val="134"/>
    </font>
    <font>
      <b/>
      <sz val="9.5"/>
      <color rgb="FFFF3300"/>
      <name val="Times New Roman"/>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name val="돋움체"/>
      <charset val="134"/>
    </font>
    <font>
      <sz val="12"/>
      <name val="바탕체"/>
      <charset val="134"/>
    </font>
    <font>
      <sz val="10"/>
      <name val="굴림체"/>
      <charset val="134"/>
    </font>
    <font>
      <sz val="10"/>
      <name val="Helv"/>
      <charset val="134"/>
    </font>
    <font>
      <sz val="10"/>
      <name val="MS Sans Serif"/>
      <charset val="134"/>
    </font>
    <font>
      <sz val="11"/>
      <color indexed="8"/>
      <name val="Calibri"/>
      <charset val="134"/>
    </font>
    <font>
      <sz val="11"/>
      <color indexed="8"/>
      <name val="Calibri"/>
      <charset val="163"/>
    </font>
    <font>
      <sz val="11"/>
      <color indexed="8"/>
      <name val="맑은 고딕"/>
      <charset val="134"/>
    </font>
    <font>
      <sz val="11"/>
      <color indexed="9"/>
      <name val="Calibri"/>
      <charset val="134"/>
    </font>
    <font>
      <sz val="11"/>
      <color indexed="9"/>
      <name val="Calibri"/>
      <charset val="163"/>
    </font>
    <font>
      <sz val="11"/>
      <color indexed="9"/>
      <name val="맑은 고딕"/>
      <charset val="134"/>
    </font>
    <font>
      <sz val="14"/>
      <name val="AngsanaUPC"/>
      <charset val="134"/>
    </font>
    <font>
      <sz val="12"/>
      <name val="¹ÙÅÁÃ¼"/>
      <charset val="134"/>
    </font>
    <font>
      <sz val="12"/>
      <name val="¹UAAA¼"/>
      <charset val="134"/>
    </font>
    <font>
      <sz val="8"/>
      <name val="Times New Roman"/>
      <charset val="134"/>
    </font>
    <font>
      <sz val="11"/>
      <name val="μ¸¿oA¼"/>
      <charset val="134"/>
    </font>
    <font>
      <sz val="11"/>
      <name val="돋움"/>
      <charset val="134"/>
    </font>
    <font>
      <sz val="11"/>
      <color indexed="20"/>
      <name val="Calibri"/>
      <charset val="134"/>
    </font>
    <font>
      <sz val="11"/>
      <color indexed="20"/>
      <name val="Calibri"/>
      <charset val="163"/>
    </font>
    <font>
      <sz val="12"/>
      <name val="Times"/>
      <charset val="134"/>
    </font>
    <font>
      <sz val="12"/>
      <name val="¹ÙÅÁÃ¼"/>
      <charset val="129"/>
    </font>
    <font>
      <sz val="10"/>
      <name val="바탕체"/>
      <charset val="134"/>
    </font>
    <font>
      <b/>
      <sz val="11"/>
      <color indexed="52"/>
      <name val="Calibri"/>
      <charset val="134"/>
    </font>
    <font>
      <b/>
      <sz val="11"/>
      <color indexed="52"/>
      <name val="Calibri"/>
      <charset val="163"/>
    </font>
    <font>
      <b/>
      <sz val="10"/>
      <name val="Helv"/>
      <charset val="134"/>
    </font>
    <font>
      <sz val="10"/>
      <name val="VNottawa"/>
      <charset val="134"/>
    </font>
    <font>
      <sz val="10"/>
      <name val="MS Serif"/>
      <charset val="134"/>
    </font>
    <font>
      <sz val="10"/>
      <name val="Courier"/>
      <charset val="134"/>
    </font>
    <font>
      <sz val="10"/>
      <name val="Geneva"/>
      <charset val="134"/>
    </font>
    <font>
      <b/>
      <sz val="9"/>
      <name val="Helv"/>
      <charset val="134"/>
    </font>
    <font>
      <b/>
      <sz val="11"/>
      <color indexed="9"/>
      <name val="Calibri"/>
      <charset val="134"/>
    </font>
    <font>
      <b/>
      <sz val="11"/>
      <color indexed="9"/>
      <name val="Calibri"/>
      <charset val="163"/>
    </font>
    <font>
      <sz val="10"/>
      <color indexed="16"/>
      <name val="MS Serif"/>
      <charset val="134"/>
    </font>
    <font>
      <i/>
      <sz val="11"/>
      <color indexed="23"/>
      <name val="Calibri"/>
      <charset val="134"/>
    </font>
    <font>
      <i/>
      <sz val="11"/>
      <color indexed="23"/>
      <name val="Calibri"/>
      <charset val="163"/>
    </font>
    <font>
      <sz val="1"/>
      <color indexed="8"/>
      <name val="Courier"/>
      <charset val="134"/>
    </font>
    <font>
      <i/>
      <sz val="1"/>
      <color indexed="8"/>
      <name val="Courier"/>
      <charset val="134"/>
    </font>
    <font>
      <sz val="11"/>
      <color indexed="17"/>
      <name val="Calibri"/>
      <charset val="134"/>
    </font>
    <font>
      <sz val="11"/>
      <color indexed="17"/>
      <name val="Calibri"/>
      <charset val="163"/>
    </font>
    <font>
      <sz val="8"/>
      <name val="Arial"/>
      <charset val="134"/>
    </font>
    <font>
      <b/>
      <sz val="12"/>
      <name val="Helv"/>
      <charset val="134"/>
    </font>
    <font>
      <b/>
      <sz val="12"/>
      <name val="Arial"/>
      <charset val="134"/>
    </font>
    <font>
      <b/>
      <sz val="15"/>
      <color indexed="56"/>
      <name val="Calibri"/>
      <charset val="134"/>
    </font>
    <font>
      <b/>
      <sz val="18"/>
      <name val="Arial"/>
      <charset val="134"/>
    </font>
    <font>
      <b/>
      <sz val="15"/>
      <color indexed="56"/>
      <name val="Calibri"/>
      <charset val="163"/>
    </font>
    <font>
      <b/>
      <sz val="13"/>
      <color indexed="56"/>
      <name val="Calibri"/>
      <charset val="134"/>
    </font>
    <font>
      <b/>
      <sz val="13"/>
      <color indexed="56"/>
      <name val="Calibri"/>
      <charset val="163"/>
    </font>
    <font>
      <b/>
      <sz val="11"/>
      <color indexed="56"/>
      <name val="Calibri"/>
      <charset val="134"/>
    </font>
    <font>
      <b/>
      <sz val="11"/>
      <color indexed="56"/>
      <name val="Calibri"/>
      <charset val="163"/>
    </font>
    <font>
      <b/>
      <sz val="1"/>
      <color indexed="8"/>
      <name val="Courier"/>
      <charset val="134"/>
    </font>
    <font>
      <u/>
      <sz val="11"/>
      <color indexed="12"/>
      <name val="Calibri"/>
      <charset val="134"/>
    </font>
    <font>
      <u/>
      <sz val="11"/>
      <color theme="10"/>
      <name val="Calibri"/>
      <charset val="134"/>
    </font>
    <font>
      <sz val="11"/>
      <color indexed="62"/>
      <name val="Calibri"/>
      <charset val="134"/>
    </font>
    <font>
      <sz val="11"/>
      <color indexed="62"/>
      <name val="Calibri"/>
      <charset val="163"/>
    </font>
    <font>
      <sz val="12"/>
      <name val="Helv"/>
      <charset val="134"/>
    </font>
    <font>
      <sz val="11"/>
      <color indexed="52"/>
      <name val="Calibri"/>
      <charset val="134"/>
    </font>
    <font>
      <sz val="11"/>
      <color indexed="52"/>
      <name val="Calibri"/>
      <charset val="163"/>
    </font>
    <font>
      <sz val="12"/>
      <color indexed="9"/>
      <name val="Helv"/>
      <charset val="134"/>
    </font>
    <font>
      <b/>
      <sz val="11"/>
      <name val="Helv"/>
      <charset val="134"/>
    </font>
    <font>
      <sz val="12"/>
      <name val="宋体"/>
      <charset val="134"/>
    </font>
    <font>
      <sz val="11"/>
      <color indexed="60"/>
      <name val="Calibri"/>
      <charset val="134"/>
    </font>
    <font>
      <sz val="11"/>
      <color indexed="60"/>
      <name val="Calibri"/>
      <charset val="163"/>
    </font>
    <font>
      <sz val="7"/>
      <name val="Small Fonts"/>
      <charset val="134"/>
    </font>
    <font>
      <sz val="12"/>
      <color theme="1"/>
      <name val="VNI-Times"/>
      <charset val="134"/>
    </font>
    <font>
      <sz val="12"/>
      <color theme="1"/>
      <name val="Times New Roman"/>
      <charset val="134"/>
    </font>
    <font>
      <sz val="12"/>
      <name val=".VnTime"/>
      <charset val="134"/>
    </font>
    <font>
      <sz val="10"/>
      <name val=".VnTime"/>
      <charset val="134"/>
    </font>
    <font>
      <sz val="12"/>
      <name val="細明體"/>
      <charset val="136"/>
    </font>
    <font>
      <sz val="12"/>
      <name val=".VnArial"/>
      <charset val="134"/>
    </font>
    <font>
      <sz val="10"/>
      <name val="VNI-Helve-Condense"/>
      <charset val="134"/>
    </font>
    <font>
      <b/>
      <sz val="11"/>
      <color indexed="63"/>
      <name val="Calibri"/>
      <charset val="134"/>
    </font>
    <font>
      <b/>
      <sz val="11"/>
      <color indexed="63"/>
      <name val="Calibri"/>
      <charset val="163"/>
    </font>
    <font>
      <sz val="9"/>
      <name val="Times New Roman"/>
      <charset val="134"/>
    </font>
    <font>
      <sz val="10"/>
      <name val="Times"/>
      <charset val="134"/>
    </font>
    <font>
      <sz val="8"/>
      <name val="Helv"/>
      <charset val="134"/>
    </font>
    <font>
      <b/>
      <sz val="8"/>
      <color indexed="8"/>
      <name val="Helv"/>
      <charset val="134"/>
    </font>
    <font>
      <b/>
      <u/>
      <sz val="13"/>
      <name val="굴림체"/>
      <charset val="134"/>
    </font>
    <font>
      <sz val="12"/>
      <name val="굴림체"/>
      <charset val="134"/>
    </font>
    <font>
      <b/>
      <sz val="18"/>
      <color indexed="56"/>
      <name val="Cambria"/>
      <charset val="134"/>
    </font>
    <font>
      <b/>
      <sz val="18"/>
      <color indexed="56"/>
      <name val="Cambria"/>
      <charset val="163"/>
    </font>
    <font>
      <b/>
      <sz val="11"/>
      <color indexed="8"/>
      <name val="Calibri"/>
      <charset val="134"/>
    </font>
    <font>
      <b/>
      <sz val="11"/>
      <color indexed="8"/>
      <name val="Calibri"/>
      <charset val="163"/>
    </font>
    <font>
      <sz val="8"/>
      <name val="바탕체"/>
      <charset val="134"/>
    </font>
    <font>
      <sz val="11"/>
      <color indexed="10"/>
      <name val="Calibri"/>
      <charset val="134"/>
    </font>
    <font>
      <sz val="11"/>
      <color indexed="10"/>
      <name val="Calibri"/>
      <charset val="163"/>
    </font>
    <font>
      <sz val="11"/>
      <color indexed="10"/>
      <name val="맑은 고딕"/>
      <charset val="134"/>
    </font>
    <font>
      <b/>
      <sz val="11"/>
      <color indexed="52"/>
      <name val="맑은 고딕"/>
      <charset val="134"/>
    </font>
    <font>
      <sz val="12"/>
      <color indexed="24"/>
      <name val="바탕체"/>
      <charset val="134"/>
    </font>
    <font>
      <b/>
      <sz val="18"/>
      <color indexed="24"/>
      <name val="바탕체"/>
      <charset val="134"/>
    </font>
    <font>
      <b/>
      <sz val="15"/>
      <color indexed="24"/>
      <name val="바탕체"/>
      <charset val="134"/>
    </font>
    <font>
      <sz val="12"/>
      <name val="궁서체"/>
      <charset val="129"/>
    </font>
    <font>
      <sz val="12"/>
      <name val="굴림"/>
      <charset val="129"/>
    </font>
    <font>
      <sz val="11"/>
      <color indexed="20"/>
      <name val="맑은 고딕"/>
      <charset val="134"/>
    </font>
    <font>
      <u/>
      <sz val="12"/>
      <color indexed="36"/>
      <name val="바탕체"/>
      <charset val="134"/>
    </font>
    <font>
      <sz val="14"/>
      <name val="뼻뮝"/>
      <charset val="134"/>
    </font>
    <font>
      <sz val="11"/>
      <name val="굴림체"/>
      <charset val="134"/>
    </font>
    <font>
      <sz val="11"/>
      <color indexed="60"/>
      <name val="맑은 고딕"/>
      <charset val="134"/>
    </font>
    <font>
      <sz val="12"/>
      <name val="뼻뮝"/>
      <charset val="134"/>
    </font>
    <font>
      <i/>
      <sz val="11"/>
      <color indexed="23"/>
      <name val="맑은 고딕"/>
      <charset val="134"/>
    </font>
    <font>
      <b/>
      <sz val="11"/>
      <color indexed="9"/>
      <name val="맑은 고딕"/>
      <charset val="134"/>
    </font>
    <font>
      <sz val="10"/>
      <name val="명조"/>
      <charset val="134"/>
    </font>
    <font>
      <sz val="11"/>
      <color indexed="52"/>
      <name val="맑은 고딕"/>
      <charset val="134"/>
    </font>
    <font>
      <b/>
      <sz val="11"/>
      <color indexed="8"/>
      <name val="맑은 고딕"/>
      <charset val="134"/>
    </font>
    <font>
      <sz val="10"/>
      <color indexed="10"/>
      <name val="돋움"/>
      <charset val="134"/>
    </font>
    <font>
      <sz val="11"/>
      <color indexed="62"/>
      <name val="맑은 고딕"/>
      <charset val="134"/>
    </font>
    <font>
      <b/>
      <sz val="18"/>
      <color indexed="56"/>
      <name val="맑은 고딕"/>
      <charset val="134"/>
    </font>
    <font>
      <b/>
      <sz val="15"/>
      <color indexed="56"/>
      <name val="맑은 고딕"/>
      <charset val="134"/>
    </font>
    <font>
      <b/>
      <sz val="13"/>
      <color indexed="56"/>
      <name val="맑은 고딕"/>
      <charset val="134"/>
    </font>
    <font>
      <b/>
      <sz val="11"/>
      <color indexed="56"/>
      <name val="맑은 고딕"/>
      <charset val="134"/>
    </font>
    <font>
      <sz val="11"/>
      <color indexed="17"/>
      <name val="맑은 고딕"/>
      <charset val="134"/>
    </font>
    <font>
      <b/>
      <sz val="11"/>
      <color indexed="63"/>
      <name val="맑은 고딕"/>
      <charset val="134"/>
    </font>
    <font>
      <sz val="12"/>
      <name val="新細明體"/>
      <charset val="136"/>
    </font>
    <font>
      <b/>
      <sz val="13"/>
      <color rgb="FFFF3300"/>
      <name val="Arial"/>
      <charset val="134"/>
    </font>
    <font>
      <b/>
      <sz val="13"/>
      <color rgb="FFFF3300"/>
      <name val="Times New Roman"/>
      <charset val="134"/>
    </font>
    <font>
      <b/>
      <sz val="13"/>
      <color rgb="FF0070C0"/>
      <name val="Arial"/>
      <charset val="134"/>
    </font>
    <font>
      <b/>
      <sz val="13"/>
      <color rgb="FF0070C0"/>
      <name val="Times New Roman"/>
      <charset val="134"/>
    </font>
    <font>
      <b/>
      <sz val="13"/>
      <name val="Arial"/>
      <charset val="134"/>
    </font>
    <font>
      <b/>
      <sz val="13"/>
      <color rgb="FF008000"/>
      <name val="Times New Roman"/>
      <charset val="134"/>
    </font>
    <font>
      <b/>
      <sz val="13"/>
      <color rgb="FF333399"/>
      <name val="Times New Roman"/>
      <charset val="134"/>
    </font>
    <font>
      <b/>
      <sz val="13"/>
      <color rgb="FF333399"/>
      <name val="Arial"/>
      <charset val="134"/>
    </font>
  </fonts>
  <fills count="85">
    <fill>
      <patternFill patternType="none"/>
    </fill>
    <fill>
      <patternFill patternType="gray125"/>
    </fill>
    <fill>
      <patternFill patternType="solid">
        <fgColor rgb="FF00B0F0"/>
        <bgColor indexed="64"/>
      </patternFill>
    </fill>
    <fill>
      <patternFill patternType="solid">
        <fgColor theme="5" tint="0.599993896298105"/>
        <bgColor indexed="64"/>
      </patternFill>
    </fill>
    <fill>
      <patternFill patternType="solid">
        <fgColor rgb="FFFFFF00"/>
        <bgColor indexed="64"/>
      </patternFill>
    </fill>
    <fill>
      <patternFill patternType="solid">
        <fgColor theme="0"/>
        <bgColor indexed="64"/>
      </patternFill>
    </fill>
    <fill>
      <patternFill patternType="solid">
        <fgColor indexed="9"/>
        <bgColor indexed="64"/>
      </patternFill>
    </fill>
    <fill>
      <patternFill patternType="solid">
        <fgColor theme="0" tint="-0.25"/>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31"/>
        <bgColor indexed="22"/>
      </patternFill>
    </fill>
    <fill>
      <patternFill patternType="solid">
        <fgColor indexed="45"/>
        <bgColor indexed="64"/>
      </patternFill>
    </fill>
    <fill>
      <patternFill patternType="solid">
        <fgColor indexed="45"/>
        <bgColor indexed="29"/>
      </patternFill>
    </fill>
    <fill>
      <patternFill patternType="solid">
        <fgColor indexed="42"/>
        <bgColor indexed="64"/>
      </patternFill>
    </fill>
    <fill>
      <patternFill patternType="solid">
        <fgColor indexed="42"/>
        <bgColor indexed="27"/>
      </patternFill>
    </fill>
    <fill>
      <patternFill patternType="solid">
        <fgColor indexed="46"/>
        <bgColor indexed="64"/>
      </patternFill>
    </fill>
    <fill>
      <patternFill patternType="solid">
        <fgColor indexed="46"/>
        <bgColor indexed="24"/>
      </patternFill>
    </fill>
    <fill>
      <patternFill patternType="solid">
        <fgColor indexed="27"/>
        <bgColor indexed="64"/>
      </patternFill>
    </fill>
    <fill>
      <patternFill patternType="solid">
        <fgColor indexed="27"/>
        <bgColor indexed="41"/>
      </patternFill>
    </fill>
    <fill>
      <patternFill patternType="solid">
        <fgColor indexed="47"/>
        <bgColor indexed="64"/>
      </patternFill>
    </fill>
    <fill>
      <patternFill patternType="solid">
        <fgColor indexed="47"/>
        <bgColor indexed="22"/>
      </patternFill>
    </fill>
    <fill>
      <patternFill patternType="solid">
        <fgColor indexed="44"/>
        <bgColor indexed="64"/>
      </patternFill>
    </fill>
    <fill>
      <patternFill patternType="solid">
        <fgColor indexed="44"/>
        <bgColor indexed="31"/>
      </patternFill>
    </fill>
    <fill>
      <patternFill patternType="solid">
        <fgColor indexed="29"/>
        <bgColor indexed="64"/>
      </patternFill>
    </fill>
    <fill>
      <patternFill patternType="solid">
        <fgColor indexed="29"/>
        <bgColor indexed="45"/>
      </patternFill>
    </fill>
    <fill>
      <patternFill patternType="solid">
        <fgColor indexed="11"/>
        <bgColor indexed="64"/>
      </patternFill>
    </fill>
    <fill>
      <patternFill patternType="solid">
        <fgColor indexed="11"/>
        <bgColor indexed="49"/>
      </patternFill>
    </fill>
    <fill>
      <patternFill patternType="solid">
        <fgColor indexed="51"/>
        <bgColor indexed="64"/>
      </patternFill>
    </fill>
    <fill>
      <patternFill patternType="solid">
        <fgColor indexed="51"/>
        <bgColor indexed="13"/>
      </patternFill>
    </fill>
    <fill>
      <patternFill patternType="solid">
        <fgColor indexed="30"/>
        <bgColor indexed="64"/>
      </patternFill>
    </fill>
    <fill>
      <patternFill patternType="solid">
        <fgColor indexed="30"/>
        <bgColor indexed="21"/>
      </patternFill>
    </fill>
    <fill>
      <patternFill patternType="solid">
        <fgColor indexed="36"/>
        <bgColor indexed="64"/>
      </patternFill>
    </fill>
    <fill>
      <patternFill patternType="solid">
        <fgColor indexed="20"/>
        <bgColor indexed="36"/>
      </patternFill>
    </fill>
    <fill>
      <patternFill patternType="solid">
        <fgColor indexed="49"/>
        <bgColor indexed="64"/>
      </patternFill>
    </fill>
    <fill>
      <patternFill patternType="solid">
        <fgColor indexed="49"/>
        <bgColor indexed="40"/>
      </patternFill>
    </fill>
    <fill>
      <patternFill patternType="solid">
        <fgColor indexed="52"/>
        <bgColor indexed="64"/>
      </patternFill>
    </fill>
    <fill>
      <patternFill patternType="solid">
        <fgColor indexed="52"/>
        <bgColor indexed="51"/>
      </patternFill>
    </fill>
    <fill>
      <patternFill patternType="solid">
        <fgColor indexed="62"/>
        <bgColor indexed="64"/>
      </patternFill>
    </fill>
    <fill>
      <patternFill patternType="solid">
        <fgColor indexed="62"/>
        <bgColor indexed="56"/>
      </patternFill>
    </fill>
    <fill>
      <patternFill patternType="solid">
        <fgColor indexed="10"/>
        <bgColor indexed="64"/>
      </patternFill>
    </fill>
    <fill>
      <patternFill patternType="solid">
        <fgColor indexed="10"/>
        <bgColor indexed="60"/>
      </patternFill>
    </fill>
    <fill>
      <patternFill patternType="solid">
        <fgColor indexed="57"/>
        <bgColor indexed="64"/>
      </patternFill>
    </fill>
    <fill>
      <patternFill patternType="solid">
        <fgColor indexed="57"/>
        <bgColor indexed="21"/>
      </patternFill>
    </fill>
    <fill>
      <patternFill patternType="solid">
        <fgColor indexed="53"/>
        <bgColor indexed="64"/>
      </patternFill>
    </fill>
    <fill>
      <patternFill patternType="solid">
        <fgColor indexed="53"/>
        <bgColor indexed="52"/>
      </patternFill>
    </fill>
    <fill>
      <patternFill patternType="solid">
        <fgColor indexed="22"/>
        <bgColor indexed="64"/>
      </patternFill>
    </fill>
    <fill>
      <patternFill patternType="solid">
        <fgColor indexed="22"/>
        <bgColor indexed="31"/>
      </patternFill>
    </fill>
    <fill>
      <patternFill patternType="solid">
        <fgColor indexed="55"/>
        <bgColor indexed="64"/>
      </patternFill>
    </fill>
    <fill>
      <patternFill patternType="solid">
        <fgColor indexed="55"/>
        <bgColor indexed="23"/>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indexed="43"/>
        <bgColor indexed="26"/>
      </patternFill>
    </fill>
    <fill>
      <patternFill patternType="solid">
        <fgColor indexed="26"/>
        <bgColor indexed="64"/>
      </patternFill>
    </fill>
    <fill>
      <patternFill patternType="solid">
        <fgColor indexed="26"/>
        <bgColor indexed="9"/>
      </patternFill>
    </fill>
  </fills>
  <borders count="38">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right/>
      <top/>
      <bottom style="thin">
        <color rgb="FFFF0000"/>
      </bottom>
      <diagonal/>
    </border>
    <border>
      <left/>
      <right/>
      <top style="thin">
        <color rgb="FFFF0000"/>
      </top>
      <bottom style="thin">
        <color rgb="FF00B0F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hair">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auto="1"/>
      </top>
      <bottom style="medium">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auto="1"/>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double">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thin">
        <color auto="1"/>
      </bottom>
      <diagonal/>
    </border>
    <border>
      <left/>
      <right/>
      <top/>
      <bottom style="hair">
        <color auto="1"/>
      </bottom>
      <diagonal/>
    </border>
    <border>
      <left/>
      <right/>
      <top style="double">
        <color auto="1"/>
      </top>
      <bottom/>
      <diagonal/>
    </border>
  </borders>
  <cellStyleXfs count="506">
    <xf numFmtId="0" fontId="0" fillId="0" borderId="0"/>
    <xf numFmtId="43" fontId="0" fillId="0" borderId="0" applyFont="0" applyFill="0" applyBorder="0" applyAlignment="0" applyProtection="0"/>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6"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xf numFmtId="0" fontId="29" fillId="0" borderId="0" applyNumberFormat="0" applyFill="0" applyBorder="0" applyAlignment="0" applyProtection="0">
      <alignment vertical="center"/>
    </xf>
    <xf numFmtId="0" fontId="0" fillId="9" borderId="13"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14" applyNumberFormat="0" applyFill="0" applyAlignment="0" applyProtection="0">
      <alignment vertical="center"/>
    </xf>
    <xf numFmtId="0" fontId="34" fillId="0" borderId="14" applyNumberFormat="0" applyFill="0" applyAlignment="0" applyProtection="0">
      <alignment vertical="center"/>
    </xf>
    <xf numFmtId="0" fontId="35" fillId="0" borderId="15" applyNumberFormat="0" applyFill="0" applyAlignment="0" applyProtection="0">
      <alignment vertical="center"/>
    </xf>
    <xf numFmtId="0" fontId="35" fillId="0" borderId="0" applyNumberFormat="0" applyFill="0" applyBorder="0" applyAlignment="0" applyProtection="0">
      <alignment vertical="center"/>
    </xf>
    <xf numFmtId="0" fontId="36" fillId="10" borderId="16" applyNumberFormat="0" applyAlignment="0" applyProtection="0">
      <alignment vertical="center"/>
    </xf>
    <xf numFmtId="0" fontId="37" fillId="11" borderId="17" applyNumberFormat="0" applyAlignment="0" applyProtection="0">
      <alignment vertical="center"/>
    </xf>
    <xf numFmtId="0" fontId="38" fillId="11" borderId="16" applyNumberFormat="0" applyAlignment="0" applyProtection="0">
      <alignment vertical="center"/>
    </xf>
    <xf numFmtId="0" fontId="39" fillId="12" borderId="18" applyNumberFormat="0" applyAlignment="0" applyProtection="0">
      <alignment vertical="center"/>
    </xf>
    <xf numFmtId="0" fontId="40" fillId="0" borderId="19" applyNumberFormat="0" applyFill="0" applyAlignment="0" applyProtection="0">
      <alignment vertical="center"/>
    </xf>
    <xf numFmtId="0" fontId="41" fillId="0" borderId="20" applyNumberFormat="0" applyFill="0" applyAlignment="0" applyProtection="0">
      <alignment vertical="center"/>
    </xf>
    <xf numFmtId="0" fontId="42" fillId="13" borderId="0" applyNumberFormat="0" applyBorder="0" applyAlignment="0" applyProtection="0">
      <alignment vertical="center"/>
    </xf>
    <xf numFmtId="0" fontId="43"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6" fillId="17" borderId="0" applyNumberFormat="0" applyBorder="0" applyAlignment="0" applyProtection="0">
      <alignment vertical="center"/>
    </xf>
    <xf numFmtId="0" fontId="46" fillId="18"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6" fillId="21" borderId="0" applyNumberFormat="0" applyBorder="0" applyAlignment="0" applyProtection="0">
      <alignment vertical="center"/>
    </xf>
    <xf numFmtId="0" fontId="46" fillId="3" borderId="0" applyNumberFormat="0" applyBorder="0" applyAlignment="0" applyProtection="0">
      <alignment vertical="center"/>
    </xf>
    <xf numFmtId="0" fontId="45" fillId="22" borderId="0" applyNumberFormat="0" applyBorder="0" applyAlignment="0" applyProtection="0">
      <alignment vertical="center"/>
    </xf>
    <xf numFmtId="0" fontId="45" fillId="23"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5" fillId="26" borderId="0" applyNumberFormat="0" applyBorder="0" applyAlignment="0" applyProtection="0">
      <alignment vertical="center"/>
    </xf>
    <xf numFmtId="0" fontId="45" fillId="27" borderId="0" applyNumberFormat="0" applyBorder="0" applyAlignment="0" applyProtection="0">
      <alignment vertical="center"/>
    </xf>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6" fillId="32" borderId="0" applyNumberFormat="0" applyBorder="0" applyAlignment="0" applyProtection="0">
      <alignment vertical="center"/>
    </xf>
    <xf numFmtId="0" fontId="46" fillId="33" borderId="0" applyNumberFormat="0" applyBorder="0" applyAlignment="0" applyProtection="0">
      <alignment vertical="center"/>
    </xf>
    <xf numFmtId="0" fontId="45" fillId="34" borderId="0" applyNumberFormat="0" applyBorder="0" applyAlignment="0" applyProtection="0">
      <alignment vertical="center"/>
    </xf>
    <xf numFmtId="0" fontId="45" fillId="35" borderId="0" applyNumberFormat="0" applyBorder="0" applyAlignment="0" applyProtection="0">
      <alignment vertical="center"/>
    </xf>
    <xf numFmtId="0" fontId="46" fillId="36" borderId="0" applyNumberFormat="0" applyBorder="0" applyAlignment="0" applyProtection="0">
      <alignment vertical="center"/>
    </xf>
    <xf numFmtId="0" fontId="46" fillId="37" borderId="0" applyNumberFormat="0" applyBorder="0" applyAlignment="0" applyProtection="0">
      <alignment vertical="center"/>
    </xf>
    <xf numFmtId="0" fontId="45" fillId="38" borderId="0" applyNumberFormat="0" applyBorder="0" applyAlignment="0" applyProtection="0">
      <alignment vertical="center"/>
    </xf>
    <xf numFmtId="3" fontId="47" fillId="0" borderId="2"/>
    <xf numFmtId="0" fontId="48" fillId="0" borderId="0"/>
    <xf numFmtId="0" fontId="48" fillId="0" borderId="0"/>
    <xf numFmtId="0" fontId="7" fillId="0" borderId="0"/>
    <xf numFmtId="0" fontId="49" fillId="0" borderId="0"/>
    <xf numFmtId="0" fontId="49" fillId="0" borderId="0"/>
    <xf numFmtId="0" fontId="49" fillId="0" borderId="0"/>
    <xf numFmtId="0" fontId="50" fillId="0" borderId="0"/>
    <xf numFmtId="0" fontId="49" fillId="0" borderId="0" applyFont="0" applyFill="0" applyBorder="0" applyAlignment="0" applyProtection="0"/>
    <xf numFmtId="0" fontId="49" fillId="0" borderId="0"/>
    <xf numFmtId="0" fontId="49" fillId="0" borderId="0"/>
    <xf numFmtId="0" fontId="49" fillId="0" borderId="0"/>
    <xf numFmtId="0" fontId="49" fillId="0" borderId="0"/>
    <xf numFmtId="0" fontId="49" fillId="0" borderId="0"/>
    <xf numFmtId="0" fontId="7" fillId="0" borderId="0"/>
    <xf numFmtId="0" fontId="7" fillId="0" borderId="0"/>
    <xf numFmtId="0" fontId="51" fillId="0" borderId="0"/>
    <xf numFmtId="0" fontId="7" fillId="0" borderId="0"/>
    <xf numFmtId="0" fontId="7" fillId="0" borderId="0"/>
    <xf numFmtId="0" fontId="7" fillId="0" borderId="0"/>
    <xf numFmtId="0" fontId="49" fillId="0" borderId="0" applyFont="0" applyFill="0" applyBorder="0" applyAlignment="0" applyProtection="0"/>
    <xf numFmtId="0" fontId="7" fillId="0" borderId="0"/>
    <xf numFmtId="0" fontId="49" fillId="0" borderId="0" applyFont="0" applyFill="0" applyBorder="0" applyAlignment="0" applyProtection="0"/>
    <xf numFmtId="0" fontId="7" fillId="0" borderId="0"/>
    <xf numFmtId="0" fontId="7" fillId="0" borderId="0"/>
    <xf numFmtId="0" fontId="49" fillId="0" borderId="0" applyFont="0" applyFill="0" applyBorder="0" applyAlignment="0" applyProtection="0"/>
    <xf numFmtId="0" fontId="7" fillId="0" borderId="0"/>
    <xf numFmtId="0" fontId="49" fillId="0" borderId="0" applyFont="0" applyFill="0" applyBorder="0" applyAlignment="0" applyProtection="0"/>
    <xf numFmtId="0" fontId="49" fillId="0" borderId="0" applyFont="0" applyFill="0" applyBorder="0" applyAlignment="0" applyProtection="0"/>
    <xf numFmtId="0" fontId="49" fillId="0" borderId="0"/>
    <xf numFmtId="0" fontId="7" fillId="0" borderId="0"/>
    <xf numFmtId="0" fontId="7" fillId="0" borderId="0"/>
    <xf numFmtId="0" fontId="49" fillId="0" borderId="0" applyFont="0" applyFill="0" applyBorder="0" applyAlignment="0" applyProtection="0"/>
    <xf numFmtId="0" fontId="7" fillId="0" borderId="0"/>
    <xf numFmtId="0" fontId="7" fillId="0" borderId="0"/>
    <xf numFmtId="0" fontId="7" fillId="0" borderId="0"/>
    <xf numFmtId="0" fontId="49" fillId="0" borderId="0" applyFont="0" applyFill="0" applyBorder="0" applyAlignment="0" applyProtection="0"/>
    <xf numFmtId="0" fontId="7" fillId="0" borderId="0"/>
    <xf numFmtId="0" fontId="7" fillId="0" borderId="0"/>
    <xf numFmtId="0" fontId="49" fillId="0" borderId="0"/>
    <xf numFmtId="0" fontId="49" fillId="0" borderId="0"/>
    <xf numFmtId="0" fontId="49" fillId="0" borderId="0"/>
    <xf numFmtId="0" fontId="7" fillId="0" borderId="0"/>
    <xf numFmtId="0" fontId="7" fillId="0" borderId="0"/>
    <xf numFmtId="0" fontId="7" fillId="0" borderId="0"/>
    <xf numFmtId="0" fontId="7" fillId="0" borderId="0"/>
    <xf numFmtId="0" fontId="51" fillId="0" borderId="0"/>
    <xf numFmtId="0" fontId="51" fillId="0" borderId="0"/>
    <xf numFmtId="0" fontId="51" fillId="0" borderId="0"/>
    <xf numFmtId="0" fontId="7" fillId="0" borderId="0"/>
    <xf numFmtId="0" fontId="49" fillId="0" borderId="0"/>
    <xf numFmtId="0" fontId="7" fillId="0" borderId="0"/>
    <xf numFmtId="0" fontId="7" fillId="0" borderId="0"/>
    <xf numFmtId="0" fontId="7" fillId="0" borderId="0"/>
    <xf numFmtId="0" fontId="7" fillId="0" borderId="0"/>
    <xf numFmtId="0" fontId="7" fillId="0" borderId="0"/>
    <xf numFmtId="0" fontId="7" fillId="0" borderId="0"/>
    <xf numFmtId="0" fontId="49" fillId="0" borderId="0" applyFont="0" applyFill="0" applyBorder="0" applyAlignment="0" applyProtection="0"/>
    <xf numFmtId="0" fontId="7" fillId="0" borderId="0"/>
    <xf numFmtId="0" fontId="49" fillId="0" borderId="0"/>
    <xf numFmtId="0" fontId="7" fillId="0" borderId="0"/>
    <xf numFmtId="0" fontId="49" fillId="0" borderId="0" applyFont="0" applyFill="0" applyBorder="0" applyAlignment="0" applyProtection="0"/>
    <xf numFmtId="0" fontId="49" fillId="0" borderId="0"/>
    <xf numFmtId="0" fontId="51" fillId="0" borderId="0"/>
    <xf numFmtId="0" fontId="7" fillId="0" borderId="0" applyFont="0" applyFill="0" applyBorder="0" applyAlignment="0" applyProtection="0"/>
    <xf numFmtId="0" fontId="7" fillId="0" borderId="0" applyFont="0" applyFill="0" applyBorder="0" applyAlignment="0" applyProtection="0"/>
    <xf numFmtId="0" fontId="4" fillId="0" borderId="0"/>
    <xf numFmtId="177" fontId="7" fillId="0" borderId="0" applyFont="0" applyFill="0" applyBorder="0" applyAlignment="0" applyProtection="0"/>
    <xf numFmtId="178" fontId="7" fillId="0" borderId="0" applyFont="0" applyFill="0" applyBorder="0" applyAlignment="0" applyProtection="0"/>
    <xf numFmtId="179" fontId="7" fillId="0" borderId="0" applyFont="0" applyFill="0" applyBorder="0" applyAlignment="0" applyProtection="0"/>
    <xf numFmtId="180" fontId="7" fillId="0" borderId="0" applyFont="0" applyFill="0" applyBorder="0" applyAlignment="0" applyProtection="0"/>
    <xf numFmtId="0" fontId="51" fillId="0" borderId="0"/>
    <xf numFmtId="0" fontId="51" fillId="0" borderId="0"/>
    <xf numFmtId="3" fontId="47" fillId="0" borderId="2"/>
    <xf numFmtId="3" fontId="47" fillId="0" borderId="2"/>
    <xf numFmtId="0" fontId="52" fillId="39" borderId="0" applyNumberFormat="0" applyBorder="0" applyAlignment="0" applyProtection="0"/>
    <xf numFmtId="0" fontId="52" fillId="39" borderId="0" applyNumberFormat="0" applyBorder="0" applyAlignment="0" applyProtection="0"/>
    <xf numFmtId="0" fontId="53" fillId="40" borderId="0" applyNumberFormat="0" applyBorder="0" applyAlignment="0" applyProtection="0"/>
    <xf numFmtId="0" fontId="52" fillId="41" borderId="0" applyNumberFormat="0" applyBorder="0" applyAlignment="0" applyProtection="0"/>
    <xf numFmtId="0" fontId="52" fillId="41" borderId="0" applyNumberFormat="0" applyBorder="0" applyAlignment="0" applyProtection="0"/>
    <xf numFmtId="0" fontId="53" fillId="42"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3" fillId="44"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3" fillId="46" borderId="0" applyNumberFormat="0" applyBorder="0" applyAlignment="0" applyProtection="0"/>
    <xf numFmtId="0" fontId="52" fillId="47" borderId="0" applyNumberFormat="0" applyBorder="0" applyAlignment="0" applyProtection="0"/>
    <xf numFmtId="0" fontId="52" fillId="47" borderId="0" applyNumberFormat="0" applyBorder="0" applyAlignment="0" applyProtection="0"/>
    <xf numFmtId="0" fontId="53" fillId="48" borderId="0" applyNumberFormat="0" applyBorder="0" applyAlignment="0" applyProtection="0"/>
    <xf numFmtId="0" fontId="52" fillId="49" borderId="0" applyNumberFormat="0" applyBorder="0" applyAlignment="0" applyProtection="0"/>
    <xf numFmtId="0" fontId="52" fillId="49" borderId="0" applyNumberFormat="0" applyBorder="0" applyAlignment="0" applyProtection="0"/>
    <xf numFmtId="0" fontId="53" fillId="50" borderId="0" applyNumberFormat="0" applyBorder="0" applyAlignment="0" applyProtection="0"/>
    <xf numFmtId="0" fontId="54" fillId="39" borderId="0" applyNumberFormat="0" applyBorder="0" applyAlignment="0" applyProtection="0">
      <alignment vertical="center"/>
    </xf>
    <xf numFmtId="0" fontId="54" fillId="41" borderId="0" applyNumberFormat="0" applyBorder="0" applyAlignment="0" applyProtection="0">
      <alignment vertical="center"/>
    </xf>
    <xf numFmtId="0" fontId="54" fillId="43" borderId="0" applyNumberFormat="0" applyBorder="0" applyAlignment="0" applyProtection="0">
      <alignment vertical="center"/>
    </xf>
    <xf numFmtId="0" fontId="54" fillId="45" borderId="0" applyNumberFormat="0" applyBorder="0" applyAlignment="0" applyProtection="0">
      <alignment vertical="center"/>
    </xf>
    <xf numFmtId="0" fontId="54" fillId="47" borderId="0" applyNumberFormat="0" applyBorder="0" applyAlignment="0" applyProtection="0">
      <alignment vertical="center"/>
    </xf>
    <xf numFmtId="0" fontId="54" fillId="49" borderId="0" applyNumberFormat="0" applyBorder="0" applyAlignment="0" applyProtection="0">
      <alignment vertical="center"/>
    </xf>
    <xf numFmtId="0" fontId="52" fillId="51" borderId="0" applyNumberFormat="0" applyBorder="0" applyAlignment="0" applyProtection="0"/>
    <xf numFmtId="0" fontId="52" fillId="51" borderId="0" applyNumberFormat="0" applyBorder="0" applyAlignment="0" applyProtection="0"/>
    <xf numFmtId="0" fontId="53" fillId="52"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53" fillId="54" borderId="0" applyNumberFormat="0" applyBorder="0" applyAlignment="0" applyProtection="0"/>
    <xf numFmtId="0" fontId="52" fillId="55" borderId="0" applyNumberFormat="0" applyBorder="0" applyAlignment="0" applyProtection="0"/>
    <xf numFmtId="0" fontId="52" fillId="55" borderId="0" applyNumberFormat="0" applyBorder="0" applyAlignment="0" applyProtection="0"/>
    <xf numFmtId="0" fontId="53" fillId="56" borderId="0" applyNumberFormat="0" applyBorder="0" applyAlignment="0" applyProtection="0"/>
    <xf numFmtId="0" fontId="52" fillId="45" borderId="0" applyNumberFormat="0" applyBorder="0" applyAlignment="0" applyProtection="0"/>
    <xf numFmtId="0" fontId="52" fillId="45" borderId="0" applyNumberFormat="0" applyBorder="0" applyAlignment="0" applyProtection="0"/>
    <xf numFmtId="0" fontId="53" fillId="46" borderId="0" applyNumberFormat="0" applyBorder="0" applyAlignment="0" applyProtection="0"/>
    <xf numFmtId="0" fontId="52" fillId="51" borderId="0" applyNumberFormat="0" applyBorder="0" applyAlignment="0" applyProtection="0"/>
    <xf numFmtId="0" fontId="52" fillId="51" borderId="0" applyNumberFormat="0" applyBorder="0" applyAlignment="0" applyProtection="0"/>
    <xf numFmtId="0" fontId="53" fillId="52" borderId="0" applyNumberFormat="0" applyBorder="0" applyAlignment="0" applyProtection="0"/>
    <xf numFmtId="0" fontId="52" fillId="57" borderId="0" applyNumberFormat="0" applyBorder="0" applyAlignment="0" applyProtection="0"/>
    <xf numFmtId="0" fontId="52" fillId="57" borderId="0" applyNumberFormat="0" applyBorder="0" applyAlignment="0" applyProtection="0"/>
    <xf numFmtId="0" fontId="53" fillId="58" borderId="0" applyNumberFormat="0" applyBorder="0" applyAlignment="0" applyProtection="0"/>
    <xf numFmtId="0" fontId="54" fillId="51" borderId="0" applyNumberFormat="0" applyBorder="0" applyAlignment="0" applyProtection="0">
      <alignment vertical="center"/>
    </xf>
    <xf numFmtId="0" fontId="54" fillId="53" borderId="0" applyNumberFormat="0" applyBorder="0" applyAlignment="0" applyProtection="0">
      <alignment vertical="center"/>
    </xf>
    <xf numFmtId="0" fontId="54" fillId="55" borderId="0" applyNumberFormat="0" applyBorder="0" applyAlignment="0" applyProtection="0">
      <alignment vertical="center"/>
    </xf>
    <xf numFmtId="0" fontId="54" fillId="45" borderId="0" applyNumberFormat="0" applyBorder="0" applyAlignment="0" applyProtection="0">
      <alignment vertical="center"/>
    </xf>
    <xf numFmtId="0" fontId="54" fillId="51" borderId="0" applyNumberFormat="0" applyBorder="0" applyAlignment="0" applyProtection="0">
      <alignment vertical="center"/>
    </xf>
    <xf numFmtId="0" fontId="54" fillId="57" borderId="0" applyNumberFormat="0" applyBorder="0" applyAlignment="0" applyProtection="0">
      <alignment vertical="center"/>
    </xf>
    <xf numFmtId="0" fontId="55" fillId="59" borderId="0" applyNumberFormat="0" applyBorder="0" applyAlignment="0" applyProtection="0"/>
    <xf numFmtId="0" fontId="55" fillId="59" borderId="0" applyNumberFormat="0" applyBorder="0" applyAlignment="0" applyProtection="0"/>
    <xf numFmtId="0" fontId="56" fillId="60" borderId="0" applyNumberFormat="0" applyBorder="0" applyAlignment="0" applyProtection="0"/>
    <xf numFmtId="0" fontId="55" fillId="53" borderId="0" applyNumberFormat="0" applyBorder="0" applyAlignment="0" applyProtection="0"/>
    <xf numFmtId="0" fontId="55" fillId="53" borderId="0" applyNumberFormat="0" applyBorder="0" applyAlignment="0" applyProtection="0"/>
    <xf numFmtId="0" fontId="56" fillId="54" borderId="0" applyNumberFormat="0" applyBorder="0" applyAlignment="0" applyProtection="0"/>
    <xf numFmtId="0" fontId="55" fillId="55" borderId="0" applyNumberFormat="0" applyBorder="0" applyAlignment="0" applyProtection="0"/>
    <xf numFmtId="0" fontId="55" fillId="55" borderId="0" applyNumberFormat="0" applyBorder="0" applyAlignment="0" applyProtection="0"/>
    <xf numFmtId="0" fontId="56" fillId="56"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6" fillId="62" borderId="0" applyNumberFormat="0" applyBorder="0" applyAlignment="0" applyProtection="0"/>
    <xf numFmtId="0" fontId="55" fillId="63" borderId="0" applyNumberFormat="0" applyBorder="0" applyAlignment="0" applyProtection="0"/>
    <xf numFmtId="0" fontId="55" fillId="63" borderId="0" applyNumberFormat="0" applyBorder="0" applyAlignment="0" applyProtection="0"/>
    <xf numFmtId="0" fontId="56" fillId="64" borderId="0" applyNumberFormat="0" applyBorder="0" applyAlignment="0" applyProtection="0"/>
    <xf numFmtId="0" fontId="55" fillId="65" borderId="0" applyNumberFormat="0" applyBorder="0" applyAlignment="0" applyProtection="0"/>
    <xf numFmtId="0" fontId="55" fillId="65" borderId="0" applyNumberFormat="0" applyBorder="0" applyAlignment="0" applyProtection="0"/>
    <xf numFmtId="0" fontId="56" fillId="66" borderId="0" applyNumberFormat="0" applyBorder="0" applyAlignment="0" applyProtection="0"/>
    <xf numFmtId="0" fontId="57" fillId="59" borderId="0" applyNumberFormat="0" applyBorder="0" applyAlignment="0" applyProtection="0">
      <alignment vertical="center"/>
    </xf>
    <xf numFmtId="0" fontId="57" fillId="53" borderId="0" applyNumberFormat="0" applyBorder="0" applyAlignment="0" applyProtection="0">
      <alignment vertical="center"/>
    </xf>
    <xf numFmtId="0" fontId="57" fillId="55" borderId="0" applyNumberFormat="0" applyBorder="0" applyAlignment="0" applyProtection="0">
      <alignment vertical="center"/>
    </xf>
    <xf numFmtId="0" fontId="57" fillId="61" borderId="0" applyNumberFormat="0" applyBorder="0" applyAlignment="0" applyProtection="0">
      <alignment vertical="center"/>
    </xf>
    <xf numFmtId="0" fontId="57" fillId="63" borderId="0" applyNumberFormat="0" applyBorder="0" applyAlignment="0" applyProtection="0">
      <alignment vertical="center"/>
    </xf>
    <xf numFmtId="0" fontId="57" fillId="65" borderId="0" applyNumberFormat="0" applyBorder="0" applyAlignment="0" applyProtection="0">
      <alignment vertical="center"/>
    </xf>
    <xf numFmtId="9" fontId="58" fillId="0" borderId="0"/>
    <xf numFmtId="0" fontId="7" fillId="0" borderId="0"/>
    <xf numFmtId="0" fontId="7" fillId="0" borderId="0"/>
    <xf numFmtId="0" fontId="7" fillId="0" borderId="0"/>
    <xf numFmtId="0" fontId="55" fillId="67" borderId="0" applyNumberFormat="0" applyBorder="0" applyAlignment="0" applyProtection="0"/>
    <xf numFmtId="0" fontId="55" fillId="67" borderId="0" applyNumberFormat="0" applyBorder="0" applyAlignment="0" applyProtection="0"/>
    <xf numFmtId="0" fontId="56" fillId="68" borderId="0" applyNumberFormat="0" applyBorder="0" applyAlignment="0" applyProtection="0"/>
    <xf numFmtId="0" fontId="55" fillId="69" borderId="0" applyNumberFormat="0" applyBorder="0" applyAlignment="0" applyProtection="0"/>
    <xf numFmtId="0" fontId="55" fillId="69" borderId="0" applyNumberFormat="0" applyBorder="0" applyAlignment="0" applyProtection="0"/>
    <xf numFmtId="0" fontId="56" fillId="70" borderId="0" applyNumberFormat="0" applyBorder="0" applyAlignment="0" applyProtection="0"/>
    <xf numFmtId="0" fontId="55" fillId="71" borderId="0" applyNumberFormat="0" applyBorder="0" applyAlignment="0" applyProtection="0"/>
    <xf numFmtId="0" fontId="55" fillId="71" borderId="0" applyNumberFormat="0" applyBorder="0" applyAlignment="0" applyProtection="0"/>
    <xf numFmtId="0" fontId="56" fillId="72" borderId="0" applyNumberFormat="0" applyBorder="0" applyAlignment="0" applyProtection="0"/>
    <xf numFmtId="0" fontId="55" fillId="61" borderId="0" applyNumberFormat="0" applyBorder="0" applyAlignment="0" applyProtection="0"/>
    <xf numFmtId="0" fontId="55" fillId="61" borderId="0" applyNumberFormat="0" applyBorder="0" applyAlignment="0" applyProtection="0"/>
    <xf numFmtId="0" fontId="56" fillId="62" borderId="0" applyNumberFormat="0" applyBorder="0" applyAlignment="0" applyProtection="0"/>
    <xf numFmtId="0" fontId="55" fillId="63" borderId="0" applyNumberFormat="0" applyBorder="0" applyAlignment="0" applyProtection="0"/>
    <xf numFmtId="0" fontId="55" fillId="63" borderId="0" applyNumberFormat="0" applyBorder="0" applyAlignment="0" applyProtection="0"/>
    <xf numFmtId="0" fontId="56" fillId="64" borderId="0" applyNumberFormat="0" applyBorder="0" applyAlignment="0" applyProtection="0"/>
    <xf numFmtId="0" fontId="55" fillId="73" borderId="0" applyNumberFormat="0" applyBorder="0" applyAlignment="0" applyProtection="0"/>
    <xf numFmtId="0" fontId="55" fillId="73" borderId="0" applyNumberFormat="0" applyBorder="0" applyAlignment="0" applyProtection="0"/>
    <xf numFmtId="0" fontId="56" fillId="74" borderId="0" applyNumberFormat="0" applyBorder="0" applyAlignment="0" applyProtection="0"/>
    <xf numFmtId="0"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0" fontId="51" fillId="0" borderId="0"/>
    <xf numFmtId="0" fontId="61" fillId="0" borderId="0">
      <alignment horizontal="center" wrapText="1"/>
      <protection locked="0"/>
    </xf>
    <xf numFmtId="0" fontId="59" fillId="0" borderId="0" applyFont="0" applyFill="0" applyBorder="0" applyAlignment="0" applyProtection="0"/>
    <xf numFmtId="0" fontId="62" fillId="0" borderId="0" applyFont="0" applyFill="0" applyBorder="0" applyAlignment="0" applyProtection="0"/>
    <xf numFmtId="0" fontId="59" fillId="0" borderId="0" applyFont="0" applyFill="0" applyBorder="0" applyAlignment="0" applyProtection="0"/>
    <xf numFmtId="181" fontId="63" fillId="0" borderId="0" applyFont="0" applyFill="0" applyBorder="0" applyAlignment="0" applyProtection="0"/>
    <xf numFmtId="0" fontId="64" fillId="41" borderId="0" applyNumberFormat="0" applyBorder="0" applyAlignment="0" applyProtection="0"/>
    <xf numFmtId="0" fontId="64" fillId="41" borderId="0" applyNumberFormat="0" applyBorder="0" applyAlignment="0" applyProtection="0"/>
    <xf numFmtId="0" fontId="65" fillId="42" borderId="0" applyNumberFormat="0" applyBorder="0" applyAlignment="0" applyProtection="0"/>
    <xf numFmtId="0" fontId="66" fillId="0" borderId="0" applyNumberFormat="0" applyFill="0" applyBorder="0" applyAlignment="0" applyProtection="0"/>
    <xf numFmtId="0" fontId="67" fillId="0" borderId="0"/>
    <xf numFmtId="0" fontId="60" fillId="0" borderId="0"/>
    <xf numFmtId="0" fontId="68" fillId="0" borderId="0" applyFill="0" applyBorder="0" applyAlignment="0"/>
    <xf numFmtId="0" fontId="69" fillId="75" borderId="21" applyNumberFormat="0" applyAlignment="0" applyProtection="0"/>
    <xf numFmtId="0" fontId="69" fillId="75" borderId="21" applyNumberFormat="0" applyAlignment="0" applyProtection="0"/>
    <xf numFmtId="0" fontId="70" fillId="76" borderId="21" applyNumberFormat="0" applyAlignment="0" applyProtection="0"/>
    <xf numFmtId="0" fontId="71"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7" fontId="63" fillId="0" borderId="0" applyFont="0" applyFill="0" applyBorder="0" applyAlignment="0" applyProtection="0">
      <alignment vertical="center"/>
    </xf>
    <xf numFmtId="177" fontId="7" fillId="0" borderId="0" applyFont="0" applyFill="0" applyBorder="0" applyAlignment="0" applyProtection="0"/>
    <xf numFmtId="177" fontId="63" fillId="0" borderId="0" applyFont="0" applyFill="0" applyBorder="0" applyAlignment="0" applyProtection="0">
      <alignment vertical="center"/>
    </xf>
    <xf numFmtId="43" fontId="7" fillId="0" borderId="0" applyFont="0" applyFill="0" applyBorder="0" applyAlignment="0" applyProtection="0"/>
    <xf numFmtId="177" fontId="7" fillId="0" borderId="0" applyFont="0" applyFill="0" applyBorder="0" applyAlignment="0" applyProtection="0"/>
    <xf numFmtId="182" fontId="7" fillId="0" borderId="0" applyFill="0" applyBorder="0" applyAlignment="0" applyProtection="0"/>
    <xf numFmtId="43" fontId="72" fillId="0" borderId="0" applyFont="0" applyFill="0" applyBorder="0" applyAlignment="0" applyProtection="0"/>
    <xf numFmtId="43" fontId="7" fillId="0" borderId="0" applyFont="0" applyFill="0" applyBorder="0" applyAlignment="0" applyProtection="0"/>
    <xf numFmtId="43" fontId="52" fillId="0" borderId="0" applyFont="0" applyFill="0" applyBorder="0" applyAlignment="0" applyProtection="0"/>
    <xf numFmtId="43" fontId="7" fillId="0" borderId="0" applyFont="0" applyFill="0" applyBorder="0" applyAlignment="0" applyProtection="0"/>
    <xf numFmtId="43" fontId="0" fillId="0" borderId="0" applyFont="0" applyFill="0" applyBorder="0" applyAlignment="0" applyProtection="0"/>
    <xf numFmtId="177" fontId="0"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2" fillId="0" borderId="0" applyFont="0" applyFill="0" applyBorder="0" applyAlignment="0" applyProtection="0"/>
    <xf numFmtId="183" fontId="48" fillId="0" borderId="0"/>
    <xf numFmtId="3" fontId="7" fillId="0" borderId="0" applyFont="0" applyFill="0" applyBorder="0" applyAlignment="0" applyProtection="0"/>
    <xf numFmtId="37" fontId="7" fillId="0" borderId="0" applyFill="0" applyBorder="0" applyAlignment="0" applyProtection="0"/>
    <xf numFmtId="0" fontId="73" fillId="0" borderId="0" applyNumberFormat="0" applyAlignment="0">
      <alignment horizontal="left"/>
    </xf>
    <xf numFmtId="0" fontId="74" fillId="0" borderId="0" applyNumberFormat="0" applyAlignment="0"/>
    <xf numFmtId="184" fontId="49" fillId="0" borderId="0" applyFont="0" applyFill="0" applyBorder="0" applyAlignment="0" applyProtection="0"/>
    <xf numFmtId="0" fontId="49" fillId="0" borderId="0" applyFont="0" applyFill="0" applyBorder="0" applyAlignment="0" applyProtection="0"/>
    <xf numFmtId="185" fontId="75" fillId="0" borderId="0" applyFont="0" applyFill="0" applyBorder="0" applyAlignment="0" applyProtection="0"/>
    <xf numFmtId="186" fontId="76" fillId="0" borderId="2" applyFill="0" applyBorder="0" applyAlignment="0"/>
    <xf numFmtId="187" fontId="7" fillId="0" borderId="0" applyFont="0" applyFill="0" applyBorder="0" applyAlignment="0" applyProtection="0"/>
    <xf numFmtId="5" fontId="7" fillId="0" borderId="0" applyFill="0" applyBorder="0" applyAlignment="0" applyProtection="0"/>
    <xf numFmtId="188" fontId="48" fillId="0" borderId="0"/>
    <xf numFmtId="0" fontId="77" fillId="77" borderId="22" applyNumberFormat="0" applyAlignment="0" applyProtection="0"/>
    <xf numFmtId="0" fontId="77" fillId="77" borderId="22" applyNumberFormat="0" applyAlignment="0" applyProtection="0"/>
    <xf numFmtId="0" fontId="78" fillId="78" borderId="22" applyNumberFormat="0" applyAlignment="0" applyProtection="0"/>
    <xf numFmtId="0" fontId="7" fillId="0" borderId="0" applyFont="0" applyFill="0" applyBorder="0" applyAlignment="0" applyProtection="0"/>
    <xf numFmtId="189" fontId="63" fillId="0" borderId="0">
      <protection locked="0"/>
    </xf>
    <xf numFmtId="190" fontId="7" fillId="0" borderId="0" applyFont="0" applyFill="0" applyBorder="0" applyAlignment="0" applyProtection="0"/>
    <xf numFmtId="191" fontId="7" fillId="0" borderId="0" applyFont="0" applyFill="0" applyBorder="0" applyAlignment="0" applyProtection="0"/>
    <xf numFmtId="192" fontId="48" fillId="0" borderId="0"/>
    <xf numFmtId="193" fontId="68" fillId="0" borderId="2">
      <alignment vertical="center"/>
    </xf>
    <xf numFmtId="0" fontId="79" fillId="0" borderId="0" applyNumberFormat="0" applyAlignment="0">
      <alignment horizontal="left"/>
    </xf>
    <xf numFmtId="0" fontId="80" fillId="0" borderId="0" applyNumberFormat="0" applyFill="0" applyBorder="0" applyAlignment="0" applyProtection="0"/>
    <xf numFmtId="0" fontId="80" fillId="0" borderId="0" applyNumberFormat="0" applyFill="0" applyBorder="0" applyAlignment="0" applyProtection="0"/>
    <xf numFmtId="0" fontId="81" fillId="0" borderId="0" applyNumberFormat="0" applyFill="0" applyBorder="0" applyAlignment="0" applyProtection="0"/>
    <xf numFmtId="0" fontId="82" fillId="0" borderId="0">
      <protection locked="0"/>
    </xf>
    <xf numFmtId="0" fontId="82" fillId="0" borderId="0">
      <protection locked="0"/>
    </xf>
    <xf numFmtId="0" fontId="83" fillId="0" borderId="0">
      <protection locked="0"/>
    </xf>
    <xf numFmtId="0" fontId="82" fillId="0" borderId="0">
      <protection locked="0"/>
    </xf>
    <xf numFmtId="0" fontId="82" fillId="0" borderId="0">
      <protection locked="0"/>
    </xf>
    <xf numFmtId="0" fontId="82" fillId="0" borderId="0">
      <protection locked="0"/>
    </xf>
    <xf numFmtId="0" fontId="83" fillId="0" borderId="0">
      <protection locked="0"/>
    </xf>
    <xf numFmtId="2" fontId="7" fillId="0" borderId="0" applyFont="0" applyFill="0" applyBorder="0" applyAlignment="0" applyProtection="0"/>
    <xf numFmtId="194" fontId="63" fillId="0" borderId="0">
      <protection locked="0"/>
    </xf>
    <xf numFmtId="0" fontId="84" fillId="43" borderId="0" applyNumberFormat="0" applyBorder="0" applyAlignment="0" applyProtection="0"/>
    <xf numFmtId="0" fontId="84" fillId="43" borderId="0" applyNumberFormat="0" applyBorder="0" applyAlignment="0" applyProtection="0"/>
    <xf numFmtId="0" fontId="85" fillId="44" borderId="0" applyNumberFormat="0" applyBorder="0" applyAlignment="0" applyProtection="0"/>
    <xf numFmtId="38" fontId="86" fillId="6" borderId="0" applyNumberFormat="0" applyBorder="0" applyAlignment="0" applyProtection="0"/>
    <xf numFmtId="0" fontId="87" fillId="0" borderId="0">
      <alignment horizontal="left"/>
    </xf>
    <xf numFmtId="0" fontId="88" fillId="0" borderId="23" applyNumberFormat="0" applyAlignment="0" applyProtection="0">
      <alignment horizontal="left" vertical="center"/>
    </xf>
    <xf numFmtId="0" fontId="88" fillId="0" borderId="9">
      <alignment horizontal="left" vertical="center"/>
    </xf>
    <xf numFmtId="0" fontId="88" fillId="0" borderId="9">
      <alignment horizontal="left" vertical="center"/>
    </xf>
    <xf numFmtId="0" fontId="89" fillId="0" borderId="24" applyNumberFormat="0" applyFill="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91" fillId="0" borderId="24" applyNumberFormat="0" applyFill="0" applyAlignment="0" applyProtection="0"/>
    <xf numFmtId="0" fontId="92" fillId="0" borderId="25" applyNumberFormat="0" applyFill="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93" fillId="0" borderId="25" applyNumberFormat="0" applyFill="0" applyAlignment="0" applyProtection="0"/>
    <xf numFmtId="0" fontId="94" fillId="0" borderId="26" applyNumberFormat="0" applyFill="0" applyAlignment="0" applyProtection="0"/>
    <xf numFmtId="0" fontId="94" fillId="0" borderId="26" applyNumberFormat="0" applyFill="0" applyAlignment="0" applyProtection="0"/>
    <xf numFmtId="0" fontId="95" fillId="0" borderId="26" applyNumberFormat="0" applyFill="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5" fillId="0" borderId="0" applyNumberFormat="0" applyFill="0" applyBorder="0" applyAlignment="0" applyProtection="0"/>
    <xf numFmtId="195" fontId="96" fillId="0" borderId="0">
      <protection locked="0"/>
    </xf>
    <xf numFmtId="196" fontId="63" fillId="0" borderId="0">
      <protection locked="0"/>
    </xf>
    <xf numFmtId="195" fontId="96" fillId="0" borderId="0">
      <protection locked="0"/>
    </xf>
    <xf numFmtId="196" fontId="63" fillId="0" borderId="0">
      <protection locked="0"/>
    </xf>
    <xf numFmtId="0" fontId="97" fillId="0" borderId="0" applyNumberFormat="0" applyFill="0" applyBorder="0" applyAlignment="0" applyProtection="0">
      <alignment vertical="top"/>
      <protection locked="0"/>
    </xf>
    <xf numFmtId="0" fontId="98" fillId="0" borderId="0" applyNumberFormat="0" applyFill="0" applyBorder="0" applyAlignment="0" applyProtection="0">
      <alignment vertical="top"/>
      <protection locked="0"/>
    </xf>
    <xf numFmtId="10" fontId="86" fillId="6" borderId="2" applyNumberFormat="0" applyBorder="0" applyAlignment="0" applyProtection="0"/>
    <xf numFmtId="0" fontId="99" fillId="49" borderId="21" applyNumberFormat="0" applyAlignment="0" applyProtection="0"/>
    <xf numFmtId="0" fontId="99" fillId="49" borderId="21" applyNumberFormat="0" applyAlignment="0" applyProtection="0"/>
    <xf numFmtId="0" fontId="100" fillId="50" borderId="21" applyNumberFormat="0" applyAlignment="0" applyProtection="0"/>
    <xf numFmtId="0" fontId="100" fillId="50" borderId="21" applyNumberFormat="0" applyAlignment="0" applyProtection="0"/>
    <xf numFmtId="197" fontId="101" fillId="79" borderId="0"/>
    <xf numFmtId="198" fontId="68" fillId="0" borderId="2">
      <alignment vertical="center"/>
    </xf>
    <xf numFmtId="0" fontId="7" fillId="0" borderId="0"/>
    <xf numFmtId="0" fontId="102" fillId="0" borderId="27" applyNumberFormat="0" applyFill="0" applyAlignment="0" applyProtection="0"/>
    <xf numFmtId="0" fontId="102" fillId="0" borderId="27" applyNumberFormat="0" applyFill="0" applyAlignment="0" applyProtection="0"/>
    <xf numFmtId="0" fontId="103" fillId="0" borderId="27" applyNumberFormat="0" applyFill="0" applyAlignment="0" applyProtection="0"/>
    <xf numFmtId="197" fontId="104" fillId="80" borderId="0"/>
    <xf numFmtId="199" fontId="68" fillId="0" borderId="2">
      <alignment horizontal="right" vertical="center"/>
    </xf>
    <xf numFmtId="200" fontId="68" fillId="0" borderId="2">
      <alignment vertical="center"/>
    </xf>
    <xf numFmtId="178" fontId="7" fillId="0" borderId="0" applyFont="0" applyFill="0" applyBorder="0" applyAlignment="0" applyProtection="0"/>
    <xf numFmtId="177" fontId="7" fillId="0" borderId="0" applyFont="0" applyFill="0" applyBorder="0" applyAlignment="0" applyProtection="0"/>
    <xf numFmtId="0" fontId="105" fillId="0" borderId="28"/>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106" fillId="0" borderId="0" applyFont="0" applyFill="0" applyBorder="0" applyAlignment="0" applyProtection="0"/>
    <xf numFmtId="0" fontId="107" fillId="81" borderId="0" applyNumberFormat="0" applyBorder="0" applyAlignment="0" applyProtection="0"/>
    <xf numFmtId="0" fontId="107" fillId="81" borderId="0" applyNumberFormat="0" applyBorder="0" applyAlignment="0" applyProtection="0"/>
    <xf numFmtId="0" fontId="108" fillId="82" borderId="0" applyNumberFormat="0" applyBorder="0" applyAlignment="0" applyProtection="0"/>
    <xf numFmtId="37" fontId="109" fillId="0" borderId="0"/>
    <xf numFmtId="201" fontId="4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02" fontId="0" fillId="0" borderId="0"/>
    <xf numFmtId="0" fontId="7" fillId="0" borderId="0"/>
    <xf numFmtId="0" fontId="110" fillId="0" borderId="0"/>
    <xf numFmtId="0" fontId="111" fillId="0" borderId="0"/>
    <xf numFmtId="0" fontId="7" fillId="0" borderId="0"/>
    <xf numFmtId="0" fontId="112" fillId="0" borderId="0"/>
    <xf numFmtId="0" fontId="7" fillId="0" borderId="0"/>
    <xf numFmtId="0" fontId="7" fillId="0" borderId="0"/>
    <xf numFmtId="0" fontId="7" fillId="0" borderId="0"/>
    <xf numFmtId="0" fontId="7" fillId="0" borderId="0"/>
    <xf numFmtId="0" fontId="63" fillId="0" borderId="0">
      <alignment vertical="center"/>
    </xf>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5" fillId="0" borderId="0"/>
    <xf numFmtId="0" fontId="113" fillId="0" borderId="0"/>
    <xf numFmtId="0" fontId="114" fillId="0" borderId="0"/>
    <xf numFmtId="0" fontId="0" fillId="0" borderId="0"/>
    <xf numFmtId="0" fontId="7" fillId="0" borderId="0"/>
    <xf numFmtId="0" fontId="7" fillId="0" borderId="0"/>
    <xf numFmtId="0" fontId="0" fillId="0" borderId="0"/>
    <xf numFmtId="0" fontId="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52" fillId="0" borderId="0"/>
    <xf numFmtId="0" fontId="115" fillId="0" borderId="0"/>
    <xf numFmtId="0" fontId="7" fillId="0" borderId="0"/>
    <xf numFmtId="0" fontId="52" fillId="83" borderId="29" applyNumberFormat="0" applyFont="0" applyAlignment="0" applyProtection="0"/>
    <xf numFmtId="0" fontId="116" fillId="83" borderId="29" applyNumberFormat="0" applyFont="0" applyAlignment="0" applyProtection="0"/>
    <xf numFmtId="0" fontId="7" fillId="83" borderId="29" applyNumberFormat="0" applyFont="0" applyAlignment="0" applyProtection="0"/>
    <xf numFmtId="0" fontId="116" fillId="83" borderId="29" applyNumberFormat="0" applyFont="0" applyAlignment="0" applyProtection="0"/>
    <xf numFmtId="0" fontId="7" fillId="84" borderId="29" applyNumberFormat="0" applyAlignment="0" applyProtection="0"/>
    <xf numFmtId="0" fontId="7" fillId="0" borderId="0" applyFont="0" applyFill="0" applyBorder="0" applyAlignment="0" applyProtection="0"/>
    <xf numFmtId="0" fontId="7" fillId="0" borderId="0" applyFont="0" applyFill="0" applyBorder="0" applyAlignment="0" applyProtection="0"/>
    <xf numFmtId="0" fontId="117" fillId="75" borderId="30" applyNumberFormat="0" applyAlignment="0" applyProtection="0"/>
    <xf numFmtId="0" fontId="117" fillId="75" borderId="30" applyNumberFormat="0" applyAlignment="0" applyProtection="0"/>
    <xf numFmtId="0" fontId="118" fillId="76" borderId="30" applyNumberFormat="0" applyAlignment="0" applyProtection="0"/>
    <xf numFmtId="58" fontId="61" fillId="0" borderId="0">
      <alignment horizontal="center" wrapText="1"/>
      <protection locked="0"/>
    </xf>
    <xf numFmtId="10" fontId="7" fillId="0" borderId="0" applyFont="0" applyFill="0" applyBorder="0" applyAlignment="0" applyProtection="0"/>
    <xf numFmtId="9" fontId="1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03" fontId="120" fillId="0" borderId="0"/>
    <xf numFmtId="0" fontId="51" fillId="0" borderId="0" applyNumberFormat="0" applyFont="0" applyFill="0" applyBorder="0" applyAlignment="0" applyProtection="0">
      <alignment horizontal="left"/>
    </xf>
    <xf numFmtId="58" fontId="121" fillId="0" borderId="0" applyNumberFormat="0" applyFill="0" applyBorder="0" applyAlignment="0" applyProtection="0">
      <alignment horizontal="left"/>
    </xf>
    <xf numFmtId="0" fontId="7" fillId="0" borderId="0"/>
    <xf numFmtId="0" fontId="50" fillId="0" borderId="0"/>
    <xf numFmtId="0" fontId="50" fillId="0" borderId="0"/>
    <xf numFmtId="0" fontId="105" fillId="0" borderId="0"/>
    <xf numFmtId="40" fontId="122" fillId="0" borderId="0" applyBorder="0">
      <alignment horizontal="right"/>
    </xf>
    <xf numFmtId="0" fontId="123" fillId="0" borderId="0" applyFill="0" applyBorder="0" applyProtection="0">
      <alignment horizontal="centerContinuous" vertical="center"/>
    </xf>
    <xf numFmtId="0" fontId="124" fillId="0" borderId="0" applyFill="0" applyBorder="0" applyProtection="0">
      <alignment horizontal="center" vertical="center"/>
    </xf>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6" fillId="0" borderId="0" applyNumberFormat="0" applyFill="0" applyBorder="0" applyAlignment="0" applyProtection="0"/>
    <xf numFmtId="0" fontId="126" fillId="0" borderId="0" applyNumberFormat="0" applyFill="0" applyBorder="0" applyAlignment="0" applyProtection="0"/>
    <xf numFmtId="0" fontId="127" fillId="0" borderId="31" applyNumberFormat="0" applyFill="0" applyAlignment="0" applyProtection="0"/>
    <xf numFmtId="196" fontId="63" fillId="0" borderId="32">
      <protection locked="0"/>
    </xf>
    <xf numFmtId="196" fontId="63" fillId="0" borderId="32">
      <protection locked="0"/>
    </xf>
    <xf numFmtId="0" fontId="128" fillId="0" borderId="31" applyNumberFormat="0" applyFill="0" applyAlignment="0" applyProtection="0"/>
    <xf numFmtId="0" fontId="129" fillId="0" borderId="33">
      <alignment horizontal="left"/>
    </xf>
    <xf numFmtId="204" fontId="7" fillId="0" borderId="0" applyFont="0" applyFill="0" applyBorder="0" applyAlignment="0" applyProtection="0"/>
    <xf numFmtId="205" fontId="7" fillId="0" borderId="0" applyFont="0" applyFill="0" applyBorder="0" applyAlignment="0" applyProtection="0"/>
    <xf numFmtId="0" fontId="130" fillId="0" borderId="0" applyNumberFormat="0" applyFill="0" applyBorder="0" applyAlignment="0" applyProtection="0"/>
    <xf numFmtId="0" fontId="130" fillId="0" borderId="0" applyNumberFormat="0" applyFill="0" applyBorder="0" applyAlignment="0" applyProtection="0"/>
    <xf numFmtId="0" fontId="131" fillId="0" borderId="0" applyNumberFormat="0" applyFill="0" applyBorder="0" applyAlignment="0" applyProtection="0"/>
    <xf numFmtId="0" fontId="57" fillId="67" borderId="0" applyNumberFormat="0" applyBorder="0" applyAlignment="0" applyProtection="0">
      <alignment vertical="center"/>
    </xf>
    <xf numFmtId="0" fontId="57" fillId="69" borderId="0" applyNumberFormat="0" applyBorder="0" applyAlignment="0" applyProtection="0">
      <alignment vertical="center"/>
    </xf>
    <xf numFmtId="0" fontId="57" fillId="71" borderId="0" applyNumberFormat="0" applyBorder="0" applyAlignment="0" applyProtection="0">
      <alignment vertical="center"/>
    </xf>
    <xf numFmtId="0" fontId="57" fillId="61" borderId="0" applyNumberFormat="0" applyBorder="0" applyAlignment="0" applyProtection="0">
      <alignment vertical="center"/>
    </xf>
    <xf numFmtId="0" fontId="57" fillId="63" borderId="0" applyNumberFormat="0" applyBorder="0" applyAlignment="0" applyProtection="0">
      <alignment vertical="center"/>
    </xf>
    <xf numFmtId="0" fontId="57" fillId="73" borderId="0" applyNumberFormat="0" applyBorder="0" applyAlignment="0" applyProtection="0">
      <alignment vertical="center"/>
    </xf>
    <xf numFmtId="0" fontId="132" fillId="0" borderId="0" applyNumberFormat="0" applyFill="0" applyBorder="0" applyAlignment="0" applyProtection="0">
      <alignment vertical="center"/>
    </xf>
    <xf numFmtId="0" fontId="133" fillId="75" borderId="21" applyNumberFormat="0" applyAlignment="0" applyProtection="0">
      <alignment vertical="center"/>
    </xf>
    <xf numFmtId="2" fontId="134" fillId="0" borderId="0" applyFont="0" applyFill="0" applyBorder="0" applyAlignment="0" applyProtection="0"/>
    <xf numFmtId="0" fontId="135" fillId="0" borderId="0" applyNumberFormat="0" applyFill="0" applyBorder="0" applyAlignment="0" applyProtection="0"/>
    <xf numFmtId="0" fontId="136" fillId="0" borderId="0" applyNumberFormat="0" applyFill="0" applyBorder="0" applyAlignment="0" applyProtection="0"/>
    <xf numFmtId="0" fontId="137" fillId="0" borderId="34">
      <alignment horizontal="center" vertical="center"/>
    </xf>
    <xf numFmtId="9" fontId="138" fillId="0" borderId="0" applyNumberFormat="0" applyFill="0" applyBorder="0" applyAlignment="0" applyProtection="0"/>
    <xf numFmtId="0" fontId="139" fillId="41" borderId="0" applyNumberFormat="0" applyBorder="0" applyAlignment="0" applyProtection="0">
      <alignment vertical="center"/>
    </xf>
    <xf numFmtId="0" fontId="134" fillId="0" borderId="0" applyFont="0" applyFill="0" applyBorder="0" applyAlignment="0" applyProtection="0"/>
    <xf numFmtId="3" fontId="51" fillId="0" borderId="35">
      <alignment horizontal="center"/>
    </xf>
    <xf numFmtId="0" fontId="134" fillId="0" borderId="0" applyFont="0" applyFill="0" applyBorder="0" applyAlignment="0" applyProtection="0"/>
    <xf numFmtId="0" fontId="140" fillId="0" borderId="0" applyNumberFormat="0" applyFill="0" applyBorder="0" applyAlignment="0" applyProtection="0">
      <alignment vertical="top"/>
      <protection locked="0"/>
    </xf>
    <xf numFmtId="40" fontId="141" fillId="0" borderId="0" applyFont="0" applyFill="0" applyBorder="0" applyAlignment="0" applyProtection="0"/>
    <xf numFmtId="38" fontId="141" fillId="0" borderId="0" applyFont="0" applyFill="0" applyBorder="0" applyAlignment="0" applyProtection="0"/>
    <xf numFmtId="0" fontId="63" fillId="83" borderId="29" applyNumberFormat="0" applyFont="0" applyAlignment="0" applyProtection="0">
      <alignment vertical="center"/>
    </xf>
    <xf numFmtId="0" fontId="141" fillId="0" borderId="0" applyFont="0" applyFill="0" applyBorder="0" applyAlignment="0" applyProtection="0"/>
    <xf numFmtId="0" fontId="141" fillId="0" borderId="0" applyFont="0" applyFill="0" applyBorder="0" applyAlignment="0" applyProtection="0"/>
    <xf numFmtId="9" fontId="142" fillId="0" borderId="0" applyFill="0" applyBorder="0" applyProtection="0">
      <alignment horizontal="right"/>
    </xf>
    <xf numFmtId="10" fontId="142" fillId="0" borderId="0" applyFill="0" applyBorder="0" applyProtection="0">
      <alignment horizontal="right"/>
    </xf>
    <xf numFmtId="9" fontId="48" fillId="0" borderId="0" applyFont="0" applyFill="0" applyBorder="0" applyAlignment="0" applyProtection="0"/>
    <xf numFmtId="0" fontId="143" fillId="81" borderId="0" applyNumberFormat="0" applyBorder="0" applyAlignment="0" applyProtection="0">
      <alignment vertical="center"/>
    </xf>
    <xf numFmtId="0" fontId="144" fillId="0" borderId="0"/>
    <xf numFmtId="0" fontId="145" fillId="0" borderId="0" applyNumberFormat="0" applyFill="0" applyBorder="0" applyAlignment="0" applyProtection="0">
      <alignment vertical="center"/>
    </xf>
    <xf numFmtId="0" fontId="146" fillId="77" borderId="22" applyNumberFormat="0" applyAlignment="0" applyProtection="0">
      <alignment vertical="center"/>
    </xf>
    <xf numFmtId="206" fontId="63" fillId="0" borderId="0">
      <alignment vertical="center"/>
    </xf>
    <xf numFmtId="41" fontId="116" fillId="0" borderId="0" applyFont="0" applyFill="0" applyBorder="0" applyAlignment="0" applyProtection="0"/>
    <xf numFmtId="43" fontId="116" fillId="0" borderId="0" applyFont="0" applyFill="0" applyBorder="0" applyAlignment="0" applyProtection="0"/>
    <xf numFmtId="0" fontId="7" fillId="0" borderId="0"/>
    <xf numFmtId="0" fontId="147" fillId="0" borderId="36"/>
    <xf numFmtId="0" fontId="148" fillId="0" borderId="27" applyNumberFormat="0" applyFill="0" applyAlignment="0" applyProtection="0">
      <alignment vertical="center"/>
    </xf>
    <xf numFmtId="207" fontId="68" fillId="0" borderId="2" applyBorder="0">
      <alignment vertical="center"/>
    </xf>
    <xf numFmtId="0" fontId="149" fillId="0" borderId="31" applyNumberFormat="0" applyFill="0" applyAlignment="0" applyProtection="0">
      <alignment vertical="center"/>
    </xf>
    <xf numFmtId="7" fontId="63" fillId="0" borderId="0" applyFont="0" applyFill="0" applyBorder="0" applyAlignment="0" applyProtection="0"/>
    <xf numFmtId="208" fontId="150" fillId="0" borderId="34" applyNumberFormat="0" applyFont="0" applyFill="0" applyAlignment="0" applyProtection="0">
      <alignment horizontal="center" vertical="center"/>
    </xf>
    <xf numFmtId="0" fontId="151" fillId="49" borderId="21" applyNumberFormat="0" applyAlignment="0" applyProtection="0">
      <alignment vertical="center"/>
    </xf>
    <xf numFmtId="4" fontId="134" fillId="0" borderId="0" applyFont="0" applyFill="0" applyBorder="0" applyAlignment="0" applyProtection="0"/>
    <xf numFmtId="3" fontId="134" fillId="0" borderId="0" applyFont="0" applyFill="0" applyBorder="0" applyAlignment="0" applyProtection="0"/>
    <xf numFmtId="0" fontId="152" fillId="0" borderId="0" applyNumberFormat="0" applyFill="0" applyBorder="0" applyAlignment="0" applyProtection="0">
      <alignment vertical="center"/>
    </xf>
    <xf numFmtId="0" fontId="153" fillId="0" borderId="24" applyNumberFormat="0" applyFill="0" applyAlignment="0" applyProtection="0">
      <alignment vertical="center"/>
    </xf>
    <xf numFmtId="0" fontId="154" fillId="0" borderId="25" applyNumberFormat="0" applyFill="0" applyAlignment="0" applyProtection="0">
      <alignment vertical="center"/>
    </xf>
    <xf numFmtId="0" fontId="155" fillId="0" borderId="26" applyNumberFormat="0" applyFill="0" applyAlignment="0" applyProtection="0">
      <alignment vertical="center"/>
    </xf>
    <xf numFmtId="0" fontId="155" fillId="0" borderId="0" applyNumberFormat="0" applyFill="0" applyBorder="0" applyAlignment="0" applyProtection="0">
      <alignment vertical="center"/>
    </xf>
    <xf numFmtId="0" fontId="156" fillId="43" borderId="0" applyNumberFormat="0" applyBorder="0" applyAlignment="0" applyProtection="0">
      <alignment vertical="center"/>
    </xf>
    <xf numFmtId="0" fontId="48" fillId="0" borderId="0"/>
    <xf numFmtId="0" fontId="157" fillId="75" borderId="30" applyNumberFormat="0" applyAlignment="0" applyProtection="0">
      <alignment vertical="center"/>
    </xf>
    <xf numFmtId="0" fontId="48" fillId="0" borderId="0" applyFont="0" applyFill="0" applyBorder="0" applyAlignment="0" applyProtection="0"/>
    <xf numFmtId="209" fontId="142" fillId="0" borderId="0" applyFill="0" applyBorder="0" applyProtection="0">
      <alignment horizontal="right"/>
    </xf>
    <xf numFmtId="210" fontId="48" fillId="0" borderId="0" applyFont="0" applyFill="0" applyBorder="0" applyAlignment="0" applyProtection="0"/>
    <xf numFmtId="211" fontId="63" fillId="0" borderId="0" applyFont="0" applyFill="0" applyBorder="0" applyAlignment="0" applyProtection="0"/>
    <xf numFmtId="212" fontId="63" fillId="0" borderId="0" applyFont="0" applyFill="0" applyBorder="0" applyAlignment="0" applyProtection="0"/>
    <xf numFmtId="10" fontId="134" fillId="0" borderId="0" applyFont="0" applyFill="0" applyBorder="0" applyAlignment="0" applyProtection="0"/>
    <xf numFmtId="0" fontId="116" fillId="0" borderId="0"/>
    <xf numFmtId="0" fontId="49" fillId="0" borderId="0"/>
    <xf numFmtId="0" fontId="134" fillId="0" borderId="37" applyNumberFormat="0" applyFont="0" applyFill="0" applyAlignment="0" applyProtection="0"/>
    <xf numFmtId="213" fontId="134" fillId="0" borderId="0" applyFont="0" applyFill="0" applyBorder="0" applyAlignment="0" applyProtection="0"/>
    <xf numFmtId="214" fontId="134" fillId="0" borderId="0" applyFont="0" applyFill="0" applyBorder="0" applyAlignment="0" applyProtection="0"/>
    <xf numFmtId="0" fontId="158" fillId="0" borderId="0"/>
    <xf numFmtId="178" fontId="158" fillId="0" borderId="0" applyFont="0" applyFill="0" applyBorder="0" applyAlignment="0" applyProtection="0"/>
    <xf numFmtId="177" fontId="158" fillId="0" borderId="0" applyFont="0" applyFill="0" applyBorder="0" applyAlignment="0" applyProtection="0"/>
    <xf numFmtId="0" fontId="7" fillId="0" borderId="0"/>
    <xf numFmtId="0" fontId="63" fillId="0" borderId="0"/>
    <xf numFmtId="180" fontId="158" fillId="0" borderId="0" applyFont="0" applyFill="0" applyBorder="0" applyAlignment="0" applyProtection="0"/>
    <xf numFmtId="179" fontId="158" fillId="0" borderId="0" applyFont="0" applyFill="0" applyBorder="0" applyAlignment="0" applyProtection="0"/>
  </cellStyleXfs>
  <cellXfs count="201">
    <xf numFmtId="0" fontId="0" fillId="0" borderId="0" xfId="0"/>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center" vertical="center" wrapText="1"/>
    </xf>
    <xf numFmtId="215" fontId="1" fillId="0" borderId="0" xfId="239" applyNumberFormat="1" applyFont="1" applyFill="1" applyAlignment="1">
      <alignment vertical="center"/>
    </xf>
    <xf numFmtId="0" fontId="2" fillId="0" borderId="0" xfId="0" applyFont="1" applyAlignment="1">
      <alignment horizontal="center" vertical="center"/>
    </xf>
    <xf numFmtId="1" fontId="3" fillId="2" borderId="1" xfId="365" applyNumberFormat="1" applyFont="1" applyFill="1" applyBorder="1" applyAlignment="1">
      <alignment horizontal="center" vertical="center" wrapText="1"/>
    </xf>
    <xf numFmtId="0" fontId="3" fillId="2" borderId="1" xfId="365" applyFont="1" applyFill="1" applyBorder="1" applyAlignment="1">
      <alignment horizontal="center" vertical="center" wrapText="1"/>
    </xf>
    <xf numFmtId="43" fontId="3" fillId="2" borderId="1" xfId="243" applyFont="1" applyFill="1" applyBorder="1" applyAlignment="1" applyProtection="1">
      <alignment horizontal="center" vertical="center"/>
    </xf>
    <xf numFmtId="0" fontId="3" fillId="2" borderId="2" xfId="0" applyFont="1" applyFill="1" applyBorder="1" applyAlignment="1">
      <alignment horizontal="center" vertical="center" wrapText="1"/>
    </xf>
    <xf numFmtId="0" fontId="3" fillId="2" borderId="2" xfId="0" applyFont="1" applyFill="1" applyBorder="1" applyAlignment="1">
      <alignment horizontal="center" vertical="center"/>
    </xf>
    <xf numFmtId="1" fontId="3" fillId="3" borderId="3" xfId="365" applyNumberFormat="1" applyFont="1" applyFill="1" applyBorder="1" applyAlignment="1">
      <alignment horizontal="center" vertical="center" wrapText="1"/>
    </xf>
    <xf numFmtId="0" fontId="3" fillId="3" borderId="3" xfId="365" applyFont="1" applyFill="1" applyBorder="1" applyAlignment="1">
      <alignment horizontal="left" vertical="center" wrapText="1"/>
    </xf>
    <xf numFmtId="0" fontId="3" fillId="3" borderId="3" xfId="365" applyFont="1" applyFill="1" applyBorder="1" applyAlignment="1">
      <alignment horizontal="center" vertical="center" wrapText="1"/>
    </xf>
    <xf numFmtId="43" fontId="3" fillId="3" borderId="3" xfId="243" applyFont="1" applyFill="1" applyBorder="1" applyAlignment="1" applyProtection="1">
      <alignment horizontal="center" vertical="center"/>
    </xf>
    <xf numFmtId="0" fontId="3" fillId="3" borderId="3" xfId="0" applyFont="1" applyFill="1" applyBorder="1" applyAlignment="1">
      <alignment horizontal="center" vertical="center" wrapText="1"/>
    </xf>
    <xf numFmtId="0" fontId="3" fillId="3" borderId="3" xfId="0" applyFont="1" applyFill="1" applyBorder="1" applyAlignment="1">
      <alignment horizontal="center" vertical="center"/>
    </xf>
    <xf numFmtId="0" fontId="3" fillId="0" borderId="4" xfId="0" applyFont="1" applyBorder="1" applyAlignment="1">
      <alignment horizontal="center" vertical="center" wrapText="1"/>
    </xf>
    <xf numFmtId="0" fontId="3" fillId="0" borderId="4" xfId="0" applyFont="1" applyBorder="1" applyAlignment="1">
      <alignment vertical="center" wrapText="1"/>
    </xf>
    <xf numFmtId="215" fontId="3" fillId="0" borderId="4" xfId="241" applyNumberFormat="1" applyFont="1" applyFill="1" applyBorder="1" applyAlignment="1">
      <alignment horizontal="center" vertical="center" wrapText="1"/>
    </xf>
    <xf numFmtId="0" fontId="1" fillId="0" borderId="4" xfId="365" applyFont="1" applyBorder="1" applyAlignment="1">
      <alignment horizontal="center" vertical="center" wrapText="1"/>
    </xf>
    <xf numFmtId="4" fontId="3" fillId="0" borderId="4" xfId="394" applyNumberFormat="1" applyFont="1" applyBorder="1" applyAlignment="1">
      <alignment horizontal="left" vertical="center" wrapText="1"/>
    </xf>
    <xf numFmtId="4" fontId="3" fillId="0" borderId="4" xfId="394" applyNumberFormat="1" applyFont="1" applyBorder="1" applyAlignment="1">
      <alignment horizontal="center" vertical="center" wrapText="1"/>
    </xf>
    <xf numFmtId="49" fontId="1" fillId="0" borderId="4" xfId="365" applyNumberFormat="1" applyFont="1" applyBorder="1" applyAlignment="1">
      <alignment horizontal="center" vertical="center" wrapText="1"/>
    </xf>
    <xf numFmtId="215" fontId="1" fillId="0" borderId="4" xfId="241" applyNumberFormat="1" applyFont="1" applyFill="1" applyBorder="1" applyAlignment="1">
      <alignment horizontal="center" vertical="center" wrapText="1"/>
    </xf>
    <xf numFmtId="0" fontId="1" fillId="0" borderId="4" xfId="0" applyFont="1" applyBorder="1" applyAlignment="1">
      <alignment vertical="center" wrapText="1"/>
    </xf>
    <xf numFmtId="0" fontId="1" fillId="0" borderId="4" xfId="0" applyFont="1" applyBorder="1" applyAlignment="1">
      <alignment horizontal="center" vertical="center" wrapText="1"/>
    </xf>
    <xf numFmtId="0" fontId="1" fillId="0" borderId="4" xfId="396" applyFont="1" applyBorder="1" applyAlignment="1">
      <alignment horizontal="center" vertical="center" wrapText="1"/>
    </xf>
    <xf numFmtId="0" fontId="1" fillId="0" borderId="4" xfId="260" applyNumberFormat="1" applyFont="1" applyFill="1" applyBorder="1" applyAlignment="1">
      <alignment horizontal="center" vertical="center" wrapText="1"/>
    </xf>
    <xf numFmtId="4" fontId="1" fillId="0" borderId="4" xfId="394" applyNumberFormat="1" applyFont="1" applyBorder="1" applyAlignment="1">
      <alignment horizontal="left" vertical="center" wrapText="1"/>
    </xf>
    <xf numFmtId="4" fontId="1" fillId="0" borderId="4" xfId="394" applyNumberFormat="1" applyFont="1" applyBorder="1" applyAlignment="1">
      <alignment horizontal="center" vertical="center" wrapText="1"/>
    </xf>
    <xf numFmtId="0" fontId="1" fillId="0" borderId="4" xfId="394" applyFont="1" applyBorder="1" applyAlignment="1">
      <alignment horizontal="left" vertical="center" wrapText="1"/>
    </xf>
    <xf numFmtId="0" fontId="1" fillId="0" borderId="4" xfId="394" applyFont="1" applyBorder="1" applyAlignment="1">
      <alignment horizontal="center" vertical="center" wrapText="1"/>
    </xf>
    <xf numFmtId="49" fontId="1" fillId="0" borderId="4" xfId="0" applyNumberFormat="1" applyFont="1" applyBorder="1" applyAlignment="1">
      <alignment horizontal="left" vertical="center" wrapText="1"/>
    </xf>
    <xf numFmtId="49" fontId="1" fillId="0" borderId="4" xfId="0" applyNumberFormat="1" applyFont="1" applyBorder="1" applyAlignment="1">
      <alignment horizontal="center" vertical="center" wrapText="1"/>
    </xf>
    <xf numFmtId="49" fontId="1" fillId="0" borderId="4" xfId="379" applyNumberFormat="1" applyFont="1" applyBorder="1" applyAlignment="1">
      <alignment horizontal="center" vertical="center" wrapText="1"/>
    </xf>
    <xf numFmtId="0" fontId="4" fillId="0" borderId="4" xfId="0" applyFont="1" applyBorder="1" applyAlignment="1">
      <alignment horizontal="center" vertical="center" wrapText="1"/>
    </xf>
    <xf numFmtId="0" fontId="1" fillId="0" borderId="4" xfId="0" applyFont="1" applyBorder="1" applyAlignment="1">
      <alignment vertical="center"/>
    </xf>
    <xf numFmtId="215" fontId="1" fillId="0" borderId="4" xfId="239" applyNumberFormat="1" applyFont="1" applyFill="1" applyBorder="1" applyAlignment="1">
      <alignment vertical="center"/>
    </xf>
    <xf numFmtId="1" fontId="3" fillId="3" borderId="4" xfId="365" applyNumberFormat="1" applyFont="1" applyFill="1" applyBorder="1" applyAlignment="1">
      <alignment horizontal="center" vertical="center" wrapText="1"/>
    </xf>
    <xf numFmtId="0" fontId="3" fillId="3" borderId="4" xfId="365" applyFont="1" applyFill="1" applyBorder="1" applyAlignment="1">
      <alignment horizontal="left" vertical="center" wrapText="1"/>
    </xf>
    <xf numFmtId="0" fontId="3" fillId="3" borderId="4" xfId="365" applyFont="1" applyFill="1" applyBorder="1" applyAlignment="1">
      <alignment horizontal="center" vertical="center" wrapText="1"/>
    </xf>
    <xf numFmtId="43" fontId="3" fillId="3" borderId="4" xfId="243" applyFont="1" applyFill="1" applyBorder="1" applyAlignment="1" applyProtection="1">
      <alignment horizontal="center" vertical="center"/>
    </xf>
    <xf numFmtId="0" fontId="3" fillId="3" borderId="4" xfId="0" applyFont="1" applyFill="1" applyBorder="1" applyAlignment="1">
      <alignment horizontal="center" vertical="center" wrapText="1"/>
    </xf>
    <xf numFmtId="0" fontId="3" fillId="3" borderId="4" xfId="0" applyFont="1" applyFill="1" applyBorder="1" applyAlignment="1">
      <alignment horizontal="center" vertical="center"/>
    </xf>
    <xf numFmtId="215" fontId="5" fillId="0" borderId="4" xfId="241" applyNumberFormat="1" applyFont="1" applyFill="1" applyBorder="1" applyAlignment="1">
      <alignment horizontal="center" vertical="center" wrapText="1"/>
    </xf>
    <xf numFmtId="0" fontId="6" fillId="0" borderId="4" xfId="394" applyFont="1" applyBorder="1" applyAlignment="1">
      <alignment horizontal="left" vertical="center" wrapText="1"/>
    </xf>
    <xf numFmtId="0" fontId="1" fillId="0" borderId="5" xfId="365" applyFont="1" applyBorder="1" applyAlignment="1">
      <alignment horizontal="center" vertical="center" wrapText="1"/>
    </xf>
    <xf numFmtId="49" fontId="1" fillId="0" borderId="5" xfId="0" applyNumberFormat="1" applyFont="1" applyBorder="1" applyAlignment="1">
      <alignment horizontal="left" vertical="center" wrapText="1"/>
    </xf>
    <xf numFmtId="49" fontId="1" fillId="0" borderId="5" xfId="379" applyNumberFormat="1" applyFont="1" applyBorder="1" applyAlignment="1">
      <alignment horizontal="center" vertical="center" wrapText="1"/>
    </xf>
    <xf numFmtId="0" fontId="1" fillId="0" borderId="5" xfId="0" applyFont="1" applyBorder="1" applyAlignment="1">
      <alignment horizontal="center" vertical="center" wrapText="1"/>
    </xf>
    <xf numFmtId="215" fontId="1" fillId="0" borderId="5" xfId="241" applyNumberFormat="1" applyFont="1" applyFill="1" applyBorder="1" applyAlignment="1">
      <alignment horizontal="center" vertical="center" wrapText="1"/>
    </xf>
    <xf numFmtId="0" fontId="7" fillId="0" borderId="0" xfId="365" applyAlignment="1">
      <alignment vertical="center"/>
    </xf>
    <xf numFmtId="0" fontId="7" fillId="4" borderId="0" xfId="365" applyFill="1" applyAlignment="1">
      <alignment vertical="center"/>
    </xf>
    <xf numFmtId="0" fontId="8" fillId="0" borderId="0" xfId="365" applyFont="1" applyFill="1" applyAlignment="1">
      <alignment vertical="center"/>
    </xf>
    <xf numFmtId="0" fontId="9" fillId="0" borderId="0" xfId="365" applyFont="1" applyAlignment="1">
      <alignment vertical="center"/>
    </xf>
    <xf numFmtId="0" fontId="8" fillId="4" borderId="0" xfId="365" applyFont="1" applyFill="1" applyAlignment="1">
      <alignment vertical="center"/>
    </xf>
    <xf numFmtId="0" fontId="10" fillId="0" borderId="0" xfId="0" applyFont="1"/>
    <xf numFmtId="0" fontId="8" fillId="5" borderId="0" xfId="365" applyFont="1" applyFill="1" applyAlignment="1">
      <alignment vertical="center"/>
    </xf>
    <xf numFmtId="0" fontId="4" fillId="0" borderId="0" xfId="365" applyFont="1" applyAlignment="1">
      <alignment vertical="center"/>
    </xf>
    <xf numFmtId="0" fontId="8" fillId="6" borderId="0" xfId="365" applyFont="1" applyFill="1" applyAlignment="1">
      <alignment vertical="center"/>
    </xf>
    <xf numFmtId="0" fontId="8" fillId="6" borderId="0" xfId="365" applyFont="1" applyFill="1" applyAlignment="1">
      <alignment vertical="center" wrapText="1"/>
    </xf>
    <xf numFmtId="0" fontId="8" fillId="6" borderId="0" xfId="365" applyFont="1" applyFill="1" applyAlignment="1">
      <alignment horizontal="center" vertical="center" wrapText="1"/>
    </xf>
    <xf numFmtId="0" fontId="8" fillId="6" borderId="0" xfId="365" applyFont="1" applyFill="1" applyAlignment="1">
      <alignment horizontal="center" vertical="center"/>
    </xf>
    <xf numFmtId="0" fontId="8" fillId="0" borderId="0" xfId="365" applyFont="1" applyAlignment="1">
      <alignment vertical="center"/>
    </xf>
    <xf numFmtId="0" fontId="11" fillId="0" borderId="0" xfId="395" applyFont="1" applyAlignment="1">
      <alignment horizontal="center" vertical="center" wrapText="1"/>
    </xf>
    <xf numFmtId="0" fontId="12" fillId="0" borderId="0" xfId="395" applyFont="1" applyAlignment="1">
      <alignment horizontal="center" vertical="center" wrapText="1"/>
    </xf>
    <xf numFmtId="0" fontId="12" fillId="0" borderId="0" xfId="395" applyFont="1" applyAlignment="1">
      <alignment vertical="center" wrapText="1"/>
    </xf>
    <xf numFmtId="0" fontId="12" fillId="0" borderId="6" xfId="395" applyFont="1" applyBorder="1" applyAlignment="1">
      <alignment horizontal="center" vertical="center" wrapText="1"/>
    </xf>
    <xf numFmtId="0" fontId="12" fillId="0" borderId="7" xfId="395" applyFont="1" applyBorder="1" applyAlignment="1">
      <alignment horizontal="center" vertical="center" wrapText="1"/>
    </xf>
    <xf numFmtId="0" fontId="13" fillId="0" borderId="0" xfId="0" applyFont="1" applyAlignment="1">
      <alignment horizontal="center"/>
    </xf>
    <xf numFmtId="0" fontId="14" fillId="0" borderId="0" xfId="364" applyFont="1" applyAlignment="1">
      <alignment horizontal="center" vertical="center"/>
    </xf>
    <xf numFmtId="0" fontId="15" fillId="0" borderId="0" xfId="6" applyFont="1" applyFill="1" applyAlignment="1" applyProtection="1">
      <alignment horizontal="left" vertical="center"/>
      <protection locked="0"/>
    </xf>
    <xf numFmtId="0" fontId="15" fillId="0" borderId="0" xfId="6" applyFont="1" applyFill="1" applyAlignment="1" applyProtection="1">
      <alignment horizontal="left" vertical="justify"/>
      <protection locked="0"/>
    </xf>
    <xf numFmtId="0" fontId="16" fillId="5" borderId="1" xfId="366" applyFont="1" applyFill="1" applyBorder="1" applyAlignment="1">
      <alignment horizontal="center" vertical="center" wrapText="1"/>
    </xf>
    <xf numFmtId="0" fontId="16" fillId="5" borderId="8" xfId="366" applyFont="1" applyFill="1" applyBorder="1" applyAlignment="1">
      <alignment horizontal="center" vertical="center" wrapText="1"/>
    </xf>
    <xf numFmtId="0" fontId="16" fillId="5" borderId="9" xfId="366" applyFont="1" applyFill="1" applyBorder="1" applyAlignment="1">
      <alignment horizontal="center" vertical="center" wrapText="1"/>
    </xf>
    <xf numFmtId="0" fontId="16" fillId="5" borderId="10" xfId="366" applyFont="1" applyFill="1" applyBorder="1" applyAlignment="1">
      <alignment horizontal="center" vertical="center" wrapText="1"/>
    </xf>
    <xf numFmtId="0" fontId="8" fillId="0" borderId="0" xfId="366" applyFont="1" applyAlignment="1">
      <alignment vertical="center" wrapText="1"/>
    </xf>
    <xf numFmtId="0" fontId="16" fillId="5" borderId="11" xfId="366" applyFont="1" applyFill="1" applyBorder="1" applyAlignment="1">
      <alignment horizontal="center" vertical="center" wrapText="1"/>
    </xf>
    <xf numFmtId="0" fontId="16" fillId="7" borderId="2" xfId="366" applyFont="1" applyFill="1" applyBorder="1" applyAlignment="1">
      <alignment horizontal="center" vertical="center" wrapText="1"/>
    </xf>
    <xf numFmtId="0" fontId="16" fillId="7" borderId="2" xfId="366" applyFont="1" applyFill="1" applyBorder="1" applyAlignment="1">
      <alignment horizontal="left" vertical="center" wrapText="1"/>
    </xf>
    <xf numFmtId="1" fontId="16" fillId="5" borderId="3" xfId="365" applyNumberFormat="1" applyFont="1" applyFill="1" applyBorder="1" applyAlignment="1">
      <alignment horizontal="center" vertical="center" wrapText="1"/>
    </xf>
    <xf numFmtId="0" fontId="16" fillId="5" borderId="3" xfId="365" applyFont="1" applyFill="1" applyBorder="1" applyAlignment="1" applyProtection="1">
      <alignment vertical="center" wrapText="1"/>
      <protection locked="0"/>
    </xf>
    <xf numFmtId="0" fontId="16" fillId="5" borderId="3" xfId="365" applyFont="1" applyFill="1" applyBorder="1" applyAlignment="1" applyProtection="1">
      <alignment horizontal="center" vertical="center" wrapText="1"/>
      <protection locked="0"/>
    </xf>
    <xf numFmtId="0" fontId="16" fillId="5" borderId="3" xfId="416" applyFont="1" applyFill="1" applyBorder="1" applyAlignment="1" applyProtection="1">
      <alignment horizontal="center" vertical="center" wrapText="1"/>
      <protection locked="0"/>
    </xf>
    <xf numFmtId="215" fontId="16" fillId="5" borderId="3" xfId="1" applyNumberFormat="1" applyFont="1" applyFill="1" applyBorder="1" applyAlignment="1" applyProtection="1">
      <alignment vertical="center" wrapText="1"/>
      <protection locked="0"/>
    </xf>
    <xf numFmtId="0" fontId="16" fillId="5" borderId="3" xfId="0" applyFont="1" applyFill="1" applyBorder="1" applyAlignment="1">
      <alignment horizontal="left" vertical="center" wrapText="1"/>
    </xf>
    <xf numFmtId="0" fontId="17" fillId="5" borderId="4" xfId="0" applyFont="1" applyFill="1" applyBorder="1" applyAlignment="1">
      <alignment horizontal="center" vertical="center" wrapText="1"/>
    </xf>
    <xf numFmtId="3" fontId="1" fillId="5" borderId="4" xfId="0" applyNumberFormat="1" applyFont="1" applyFill="1" applyBorder="1" applyAlignment="1">
      <alignment horizontal="left" vertical="center" wrapText="1"/>
    </xf>
    <xf numFmtId="3" fontId="1" fillId="5" borderId="4" xfId="0" applyNumberFormat="1" applyFont="1" applyFill="1" applyBorder="1" applyAlignment="1">
      <alignment horizontal="center" vertical="center" wrapText="1"/>
    </xf>
    <xf numFmtId="0" fontId="13" fillId="5" borderId="4" xfId="0" applyFont="1" applyFill="1" applyBorder="1" applyAlignment="1">
      <alignment horizontal="center" vertical="center" wrapText="1"/>
    </xf>
    <xf numFmtId="1" fontId="17" fillId="5" borderId="4" xfId="0" applyNumberFormat="1" applyFont="1" applyFill="1" applyBorder="1" applyAlignment="1">
      <alignment horizontal="center" vertical="center" wrapText="1"/>
    </xf>
    <xf numFmtId="3" fontId="4" fillId="5" borderId="4" xfId="1" applyNumberFormat="1" applyFont="1" applyFill="1" applyBorder="1" applyAlignment="1" applyProtection="1">
      <alignment vertical="center"/>
    </xf>
    <xf numFmtId="215" fontId="18" fillId="0" borderId="4" xfId="1" applyNumberFormat="1" applyFont="1" applyFill="1" applyBorder="1" applyAlignment="1" applyProtection="1">
      <alignment horizontal="right" vertical="center" wrapText="1"/>
      <protection locked="0"/>
    </xf>
    <xf numFmtId="3" fontId="18" fillId="0" borderId="4" xfId="0" applyNumberFormat="1" applyFont="1" applyBorder="1" applyAlignment="1" applyProtection="1">
      <alignment horizontal="right" vertical="center" wrapText="1"/>
      <protection locked="0"/>
    </xf>
    <xf numFmtId="0" fontId="17" fillId="5" borderId="4" xfId="396" applyFont="1" applyFill="1" applyBorder="1" applyAlignment="1">
      <alignment horizontal="center" vertical="center" wrapText="1"/>
    </xf>
    <xf numFmtId="0" fontId="19" fillId="4" borderId="0" xfId="366" applyFont="1" applyFill="1" applyAlignment="1">
      <alignment vertical="center" wrapText="1"/>
    </xf>
    <xf numFmtId="3" fontId="1" fillId="0" borderId="4" xfId="0" applyNumberFormat="1" applyFont="1" applyBorder="1" applyAlignment="1">
      <alignment horizontal="left" vertical="center" wrapText="1"/>
    </xf>
    <xf numFmtId="3" fontId="1" fillId="0" borderId="4" xfId="0" applyNumberFormat="1" applyFont="1" applyBorder="1" applyAlignment="1">
      <alignment horizontal="center" vertical="center" wrapText="1"/>
    </xf>
    <xf numFmtId="0" fontId="13" fillId="0" borderId="4" xfId="0" applyFont="1" applyBorder="1" applyAlignment="1">
      <alignment horizontal="center" vertical="center" wrapText="1"/>
    </xf>
    <xf numFmtId="0" fontId="17" fillId="0" borderId="4" xfId="0" applyFont="1" applyBorder="1" applyAlignment="1">
      <alignment horizontal="center" vertical="center" wrapText="1"/>
    </xf>
    <xf numFmtId="216" fontId="13" fillId="0" borderId="4" xfId="0" applyNumberFormat="1" applyFont="1" applyBorder="1" applyAlignment="1">
      <alignment horizontal="right" vertical="center"/>
    </xf>
    <xf numFmtId="215" fontId="1" fillId="0" borderId="4" xfId="1" applyNumberFormat="1" applyFont="1" applyFill="1" applyBorder="1" applyAlignment="1">
      <alignment horizontal="right" vertical="center" wrapText="1"/>
    </xf>
    <xf numFmtId="0" fontId="17" fillId="0" borderId="4" xfId="396" applyFont="1" applyBorder="1" applyAlignment="1">
      <alignment horizontal="center" vertical="center" wrapText="1"/>
    </xf>
    <xf numFmtId="217" fontId="4" fillId="0" borderId="4" xfId="0" applyNumberFormat="1" applyFont="1" applyBorder="1" applyAlignment="1">
      <alignment horizontal="right" vertical="center"/>
    </xf>
    <xf numFmtId="1" fontId="17" fillId="0" borderId="4" xfId="0" applyNumberFormat="1" applyFont="1" applyBorder="1" applyAlignment="1">
      <alignment horizontal="center" vertical="center" wrapText="1"/>
    </xf>
    <xf numFmtId="215" fontId="13" fillId="0" borderId="4" xfId="1" applyNumberFormat="1" applyFont="1" applyBorder="1" applyAlignment="1">
      <alignment horizontal="center" vertical="center" wrapText="1"/>
    </xf>
    <xf numFmtId="218" fontId="4" fillId="0" borderId="4" xfId="0" applyNumberFormat="1" applyFont="1" applyBorder="1" applyAlignment="1">
      <alignment horizontal="left" vertical="center" wrapText="1"/>
    </xf>
    <xf numFmtId="215" fontId="13" fillId="0" borderId="4" xfId="0" applyNumberFormat="1" applyFont="1" applyBorder="1" applyAlignment="1">
      <alignment horizontal="center" vertical="center" wrapText="1"/>
    </xf>
    <xf numFmtId="0" fontId="17" fillId="0" borderId="4" xfId="0" applyFont="1" applyFill="1" applyBorder="1" applyAlignment="1">
      <alignment horizontal="center" vertical="center" wrapText="1"/>
    </xf>
    <xf numFmtId="3" fontId="1" fillId="0" borderId="4" xfId="0" applyNumberFormat="1" applyFont="1" applyFill="1" applyBorder="1" applyAlignment="1">
      <alignment horizontal="left" vertical="center" wrapText="1"/>
    </xf>
    <xf numFmtId="3" fontId="1" fillId="0" borderId="4" xfId="0" applyNumberFormat="1" applyFont="1" applyFill="1" applyBorder="1" applyAlignment="1">
      <alignment horizontal="center" vertical="center" wrapText="1"/>
    </xf>
    <xf numFmtId="0" fontId="13" fillId="0" borderId="4" xfId="0" applyFont="1" applyFill="1" applyBorder="1" applyAlignment="1">
      <alignment horizontal="center" vertical="center" wrapText="1"/>
    </xf>
    <xf numFmtId="1" fontId="17" fillId="0" borderId="4" xfId="0" applyNumberFormat="1" applyFont="1" applyFill="1" applyBorder="1" applyAlignment="1">
      <alignment horizontal="center" vertical="center" wrapText="1"/>
    </xf>
    <xf numFmtId="216" fontId="13" fillId="0" borderId="4" xfId="0" applyNumberFormat="1" applyFont="1" applyFill="1" applyBorder="1" applyAlignment="1">
      <alignment horizontal="right" vertical="center"/>
    </xf>
    <xf numFmtId="3" fontId="18" fillId="0" borderId="4" xfId="0" applyNumberFormat="1" applyFont="1" applyFill="1" applyBorder="1" applyAlignment="1" applyProtection="1">
      <alignment horizontal="right" vertical="center" wrapText="1"/>
      <protection locked="0"/>
    </xf>
    <xf numFmtId="0" fontId="17" fillId="0" borderId="4" xfId="396" applyFont="1" applyFill="1" applyBorder="1" applyAlignment="1">
      <alignment horizontal="center" vertical="center" wrapText="1"/>
    </xf>
    <xf numFmtId="3" fontId="1" fillId="5" borderId="4" xfId="0" applyNumberFormat="1" applyFont="1" applyFill="1" applyBorder="1" applyAlignment="1">
      <alignment vertical="center" wrapText="1"/>
    </xf>
    <xf numFmtId="0" fontId="1" fillId="5" borderId="4" xfId="0" applyFont="1" applyFill="1" applyBorder="1" applyAlignment="1">
      <alignment horizontal="center" vertical="center"/>
    </xf>
    <xf numFmtId="3" fontId="6" fillId="5" borderId="4" xfId="0" applyNumberFormat="1" applyFont="1" applyFill="1" applyBorder="1" applyAlignment="1">
      <alignment horizontal="center" vertical="center"/>
    </xf>
    <xf numFmtId="3" fontId="1" fillId="0" borderId="4" xfId="0" applyNumberFormat="1" applyFont="1" applyBorder="1" applyAlignment="1">
      <alignment vertical="center" wrapText="1"/>
    </xf>
    <xf numFmtId="0" fontId="1" fillId="0" borderId="4" xfId="0" applyFont="1" applyBorder="1" applyAlignment="1">
      <alignment horizontal="center" vertical="center"/>
    </xf>
    <xf numFmtId="3" fontId="1" fillId="0" borderId="4" xfId="0" applyNumberFormat="1" applyFont="1" applyBorder="1" applyAlignment="1">
      <alignment horizontal="center" vertical="center"/>
    </xf>
    <xf numFmtId="0" fontId="4" fillId="0" borderId="4" xfId="355" applyFont="1" applyFill="1" applyBorder="1" applyAlignment="1">
      <alignment horizontal="left" vertical="center" wrapText="1"/>
    </xf>
    <xf numFmtId="0" fontId="3" fillId="5" borderId="4" xfId="0" applyFont="1" applyFill="1" applyBorder="1" applyAlignment="1">
      <alignment horizontal="center" vertical="center"/>
    </xf>
    <xf numFmtId="3" fontId="3" fillId="5" borderId="4" xfId="0" applyNumberFormat="1" applyFont="1" applyFill="1" applyBorder="1" applyAlignment="1">
      <alignment horizontal="left" vertical="center" wrapText="1"/>
    </xf>
    <xf numFmtId="3" fontId="3" fillId="5" borderId="4" xfId="0" applyNumberFormat="1" applyFont="1" applyFill="1" applyBorder="1" applyAlignment="1">
      <alignment horizontal="center" vertical="center" wrapText="1"/>
    </xf>
    <xf numFmtId="0" fontId="3" fillId="5" borderId="4" xfId="0" applyFont="1" applyFill="1" applyBorder="1" applyAlignment="1">
      <alignment horizontal="center" vertical="center" wrapText="1"/>
    </xf>
    <xf numFmtId="0" fontId="1" fillId="0" borderId="4" xfId="396" applyFont="1" applyBorder="1" applyAlignment="1">
      <alignment vertical="center" wrapText="1"/>
    </xf>
    <xf numFmtId="0" fontId="20" fillId="0" borderId="4" xfId="0" applyFont="1" applyBorder="1" applyAlignment="1">
      <alignment horizontal="center" vertical="center"/>
    </xf>
    <xf numFmtId="0" fontId="20" fillId="0" borderId="4" xfId="396" applyFont="1" applyBorder="1" applyAlignment="1">
      <alignment vertical="center" wrapText="1"/>
    </xf>
    <xf numFmtId="0" fontId="20" fillId="0" borderId="4" xfId="396" applyFont="1" applyBorder="1" applyAlignment="1">
      <alignment horizontal="center" vertical="center" wrapText="1"/>
    </xf>
    <xf numFmtId="3" fontId="20" fillId="0" borderId="4" xfId="0" applyNumberFormat="1" applyFont="1" applyBorder="1" applyAlignment="1">
      <alignment horizontal="center" vertical="center" wrapText="1"/>
    </xf>
    <xf numFmtId="0" fontId="20" fillId="0" borderId="4" xfId="0" applyFont="1" applyBorder="1" applyAlignment="1">
      <alignment horizontal="center" vertical="center" wrapText="1"/>
    </xf>
    <xf numFmtId="3" fontId="3" fillId="0" borderId="4" xfId="0" applyNumberFormat="1" applyFont="1" applyBorder="1" applyAlignment="1">
      <alignment horizontal="center" vertical="center" wrapText="1"/>
    </xf>
    <xf numFmtId="215" fontId="21" fillId="0" borderId="4" xfId="1" applyNumberFormat="1" applyFont="1" applyFill="1" applyBorder="1" applyAlignment="1" applyProtection="1">
      <alignment horizontal="right" vertical="center" wrapText="1"/>
      <protection locked="0"/>
    </xf>
    <xf numFmtId="3" fontId="21" fillId="0" borderId="4" xfId="0" applyNumberFormat="1" applyFont="1" applyBorder="1" applyAlignment="1" applyProtection="1">
      <alignment horizontal="right" vertical="center" wrapText="1"/>
      <protection locked="0"/>
    </xf>
    <xf numFmtId="0" fontId="1" fillId="5" borderId="4" xfId="0" applyFont="1" applyFill="1" applyBorder="1" applyAlignment="1">
      <alignment horizontal="center" vertical="center" wrapText="1"/>
    </xf>
    <xf numFmtId="218" fontId="4" fillId="0" borderId="4" xfId="0" applyNumberFormat="1" applyFont="1" applyBorder="1" applyAlignment="1">
      <alignment vertical="center" wrapText="1"/>
    </xf>
    <xf numFmtId="0" fontId="4" fillId="0" borderId="4" xfId="0" applyFont="1" applyBorder="1" applyAlignment="1">
      <alignment horizontal="left" vertical="center" wrapText="1"/>
    </xf>
    <xf numFmtId="3" fontId="1" fillId="5" borderId="4" xfId="0" applyNumberFormat="1" applyFont="1" applyFill="1" applyBorder="1" applyAlignment="1">
      <alignment horizontal="center" vertical="center"/>
    </xf>
    <xf numFmtId="215" fontId="1" fillId="0" borderId="4" xfId="1" applyNumberFormat="1" applyFont="1" applyBorder="1" applyAlignment="1">
      <alignment horizontal="center" vertical="center"/>
    </xf>
    <xf numFmtId="3" fontId="6" fillId="0" borderId="4" xfId="0" applyNumberFormat="1" applyFont="1" applyBorder="1" applyAlignment="1">
      <alignment vertical="center" wrapText="1"/>
    </xf>
    <xf numFmtId="3" fontId="6" fillId="0" borderId="4" xfId="0" applyNumberFormat="1" applyFont="1" applyBorder="1" applyAlignment="1">
      <alignment horizontal="center" vertical="center" wrapText="1"/>
    </xf>
    <xf numFmtId="3" fontId="6" fillId="0" borderId="4" xfId="0" applyNumberFormat="1" applyFont="1" applyBorder="1" applyAlignment="1">
      <alignment horizontal="center" vertical="center"/>
    </xf>
    <xf numFmtId="0" fontId="22" fillId="0" borderId="4" xfId="0" applyFont="1" applyBorder="1" applyAlignment="1">
      <alignment horizontal="center" vertical="center" wrapText="1"/>
    </xf>
    <xf numFmtId="0" fontId="22" fillId="0" borderId="4" xfId="0" applyFont="1" applyBorder="1" applyAlignment="1">
      <alignment vertical="center" wrapText="1"/>
    </xf>
    <xf numFmtId="0" fontId="13" fillId="0" borderId="4" xfId="0" applyFont="1" applyBorder="1" applyAlignment="1">
      <alignment horizontal="center"/>
    </xf>
    <xf numFmtId="43" fontId="22" fillId="0" borderId="4" xfId="1" applyFont="1" applyBorder="1" applyAlignment="1">
      <alignment horizontal="right" vertical="center" wrapText="1"/>
    </xf>
    <xf numFmtId="215" fontId="13" fillId="0" borderId="4" xfId="0" applyNumberFormat="1" applyFont="1" applyBorder="1" applyAlignment="1">
      <alignment horizontal="right" vertical="center"/>
    </xf>
    <xf numFmtId="0" fontId="23" fillId="7" borderId="4" xfId="0" applyFont="1" applyFill="1" applyBorder="1" applyAlignment="1">
      <alignment horizontal="center" vertical="center"/>
    </xf>
    <xf numFmtId="0" fontId="23" fillId="7" borderId="4" xfId="0" applyFont="1" applyFill="1" applyBorder="1" applyAlignment="1">
      <alignment vertical="center"/>
    </xf>
    <xf numFmtId="219" fontId="23" fillId="7" borderId="4" xfId="0" applyNumberFormat="1" applyFont="1" applyFill="1" applyBorder="1" applyAlignment="1">
      <alignment horizontal="center" vertical="center"/>
    </xf>
    <xf numFmtId="0" fontId="13" fillId="7" borderId="4" xfId="0" applyFont="1" applyFill="1" applyBorder="1" applyAlignment="1">
      <alignment horizontal="center" vertical="center"/>
    </xf>
    <xf numFmtId="0" fontId="22" fillId="7" borderId="4" xfId="0" applyFont="1" applyFill="1" applyBorder="1" applyAlignment="1">
      <alignment horizontal="center" vertical="center" wrapText="1"/>
    </xf>
    <xf numFmtId="216" fontId="13" fillId="7" borderId="4" xfId="0" applyNumberFormat="1" applyFont="1" applyFill="1" applyBorder="1" applyAlignment="1">
      <alignment horizontal="right" vertical="center"/>
    </xf>
    <xf numFmtId="215" fontId="1" fillId="7" borderId="4" xfId="1" applyNumberFormat="1" applyFont="1" applyFill="1" applyBorder="1" applyAlignment="1">
      <alignment horizontal="right" vertical="center" wrapText="1"/>
    </xf>
    <xf numFmtId="215" fontId="18" fillId="7" borderId="4" xfId="1" applyNumberFormat="1" applyFont="1" applyFill="1" applyBorder="1" applyAlignment="1" applyProtection="1">
      <alignment horizontal="right" vertical="center" wrapText="1"/>
      <protection locked="0"/>
    </xf>
    <xf numFmtId="3" fontId="18" fillId="7" borderId="4" xfId="0" applyNumberFormat="1" applyFont="1" applyFill="1" applyBorder="1" applyAlignment="1" applyProtection="1">
      <alignment horizontal="right" vertical="center" wrapText="1"/>
      <protection locked="0"/>
    </xf>
    <xf numFmtId="215" fontId="13" fillId="7" borderId="4" xfId="0" applyNumberFormat="1" applyFont="1" applyFill="1" applyBorder="1" applyAlignment="1">
      <alignment horizontal="right" vertical="center"/>
    </xf>
    <xf numFmtId="0" fontId="23" fillId="0" borderId="4" xfId="0" applyFont="1" applyBorder="1" applyAlignment="1">
      <alignment horizontal="center" vertical="center"/>
    </xf>
    <xf numFmtId="0" fontId="23" fillId="0" borderId="4" xfId="0" applyFont="1" applyBorder="1" applyAlignment="1">
      <alignment vertical="center" wrapText="1"/>
    </xf>
    <xf numFmtId="219" fontId="23" fillId="0" borderId="4" xfId="0" applyNumberFormat="1" applyFont="1" applyBorder="1" applyAlignment="1">
      <alignment horizontal="center" vertical="center"/>
    </xf>
    <xf numFmtId="0" fontId="13" fillId="0" borderId="4" xfId="0" applyFont="1"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vertical="center" wrapText="1"/>
    </xf>
    <xf numFmtId="219" fontId="4" fillId="0" borderId="4" xfId="0" applyNumberFormat="1" applyFont="1" applyBorder="1" applyAlignment="1">
      <alignment horizontal="center" vertical="center"/>
    </xf>
    <xf numFmtId="219" fontId="4" fillId="0" borderId="4" xfId="0" applyNumberFormat="1" applyFont="1" applyBorder="1" applyAlignment="1">
      <alignment horizontal="right" vertical="center"/>
    </xf>
    <xf numFmtId="219" fontId="23" fillId="0" borderId="4" xfId="0" applyNumberFormat="1" applyFont="1" applyBorder="1" applyAlignment="1">
      <alignment horizontal="right" vertical="center"/>
    </xf>
    <xf numFmtId="0" fontId="4" fillId="0" borderId="4" xfId="0" applyFont="1" applyBorder="1" applyAlignment="1">
      <alignment vertical="center"/>
    </xf>
    <xf numFmtId="0" fontId="23" fillId="0" borderId="4" xfId="0" applyFont="1" applyBorder="1" applyAlignment="1">
      <alignment vertical="center"/>
    </xf>
    <xf numFmtId="0" fontId="4" fillId="7" borderId="4" xfId="0" applyFont="1" applyFill="1" applyBorder="1" applyAlignment="1">
      <alignment horizontal="center" vertical="center"/>
    </xf>
    <xf numFmtId="219" fontId="4" fillId="7" borderId="4" xfId="0" applyNumberFormat="1" applyFont="1" applyFill="1" applyBorder="1" applyAlignment="1">
      <alignment horizontal="right" vertical="center"/>
    </xf>
    <xf numFmtId="1" fontId="23" fillId="0" borderId="4" xfId="121" applyNumberFormat="1" applyFont="1" applyBorder="1" applyAlignment="1">
      <alignment horizontal="center" vertical="center" wrapText="1"/>
    </xf>
    <xf numFmtId="1" fontId="23" fillId="0" borderId="4" xfId="121" applyNumberFormat="1" applyFont="1" applyBorder="1" applyAlignment="1">
      <alignment horizontal="left" vertical="center" wrapText="1"/>
    </xf>
    <xf numFmtId="219" fontId="23" fillId="0" borderId="4" xfId="121" applyNumberFormat="1" applyFont="1" applyBorder="1" applyAlignment="1">
      <alignment horizontal="center" vertical="center" wrapText="1"/>
    </xf>
    <xf numFmtId="217" fontId="4" fillId="0" borderId="4" xfId="0" applyNumberFormat="1" applyFont="1" applyBorder="1" applyAlignment="1">
      <alignment vertical="center"/>
    </xf>
    <xf numFmtId="215" fontId="4" fillId="0" borderId="4" xfId="249" applyNumberFormat="1" applyFont="1" applyFill="1" applyBorder="1" applyAlignment="1">
      <alignment horizontal="right" vertical="center" wrapText="1"/>
    </xf>
    <xf numFmtId="216" fontId="13" fillId="0" borderId="4" xfId="0" applyNumberFormat="1" applyFont="1" applyFill="1" applyBorder="1" applyAlignment="1">
      <alignment vertical="center"/>
    </xf>
    <xf numFmtId="215" fontId="1" fillId="0" borderId="4" xfId="1" applyNumberFormat="1" applyFont="1" applyFill="1" applyBorder="1" applyAlignment="1">
      <alignment vertical="center" wrapText="1"/>
    </xf>
    <xf numFmtId="0" fontId="24" fillId="4" borderId="11" xfId="351" applyFont="1" applyFill="1" applyBorder="1" applyAlignment="1">
      <alignment horizontal="center" vertical="center"/>
    </xf>
    <xf numFmtId="0" fontId="24" fillId="4" borderId="11" xfId="0" applyFont="1" applyFill="1" applyBorder="1" applyAlignment="1">
      <alignment vertical="center" wrapText="1"/>
    </xf>
    <xf numFmtId="0" fontId="24" fillId="4" borderId="11" xfId="0" applyFont="1" applyFill="1" applyBorder="1" applyAlignment="1">
      <alignment horizontal="center" vertical="center"/>
    </xf>
    <xf numFmtId="219" fontId="25" fillId="4" borderId="4" xfId="0" applyNumberFormat="1" applyFont="1" applyFill="1" applyBorder="1" applyAlignment="1">
      <alignment horizontal="center" vertical="center"/>
    </xf>
    <xf numFmtId="0" fontId="25" fillId="4" borderId="4" xfId="0" applyFont="1" applyFill="1" applyBorder="1" applyAlignment="1">
      <alignment horizontal="center" vertical="center"/>
    </xf>
    <xf numFmtId="219" fontId="24" fillId="4" borderId="11" xfId="351" applyNumberFormat="1" applyFont="1" applyFill="1" applyBorder="1" applyAlignment="1">
      <alignment horizontal="right" vertical="center"/>
    </xf>
    <xf numFmtId="217" fontId="24" fillId="4" borderId="11" xfId="0" applyNumberFormat="1" applyFont="1" applyFill="1" applyBorder="1" applyAlignment="1">
      <alignment horizontal="right" vertical="center"/>
    </xf>
    <xf numFmtId="3" fontId="26" fillId="4" borderId="4" xfId="0" applyNumberFormat="1" applyFont="1" applyFill="1" applyBorder="1" applyAlignment="1" applyProtection="1">
      <alignment horizontal="right" vertical="center" wrapText="1"/>
      <protection locked="0"/>
    </xf>
    <xf numFmtId="217" fontId="27" fillId="4" borderId="11" xfId="0" applyNumberFormat="1" applyFont="1" applyFill="1" applyBorder="1" applyAlignment="1">
      <alignment horizontal="right" vertical="center"/>
    </xf>
    <xf numFmtId="219" fontId="4" fillId="0" borderId="4" xfId="0" applyNumberFormat="1" applyFont="1" applyFill="1" applyBorder="1" applyAlignment="1">
      <alignment horizontal="right" vertical="center"/>
    </xf>
    <xf numFmtId="217" fontId="4" fillId="0" borderId="4" xfId="0" applyNumberFormat="1" applyFont="1" applyFill="1" applyBorder="1" applyAlignment="1">
      <alignment vertical="center"/>
    </xf>
    <xf numFmtId="217" fontId="4" fillId="0" borderId="11" xfId="0" applyNumberFormat="1" applyFont="1" applyFill="1" applyBorder="1" applyAlignment="1">
      <alignment horizontal="right" vertical="center"/>
    </xf>
    <xf numFmtId="0" fontId="23" fillId="0" borderId="12" xfId="0" applyFont="1" applyBorder="1" applyAlignment="1">
      <alignment horizontal="center" vertical="center"/>
    </xf>
    <xf numFmtId="0" fontId="23" fillId="0" borderId="12" xfId="0" applyFont="1" applyBorder="1" applyAlignment="1">
      <alignment vertical="center"/>
    </xf>
    <xf numFmtId="49" fontId="4" fillId="0" borderId="4" xfId="350" applyNumberFormat="1" applyFont="1" applyBorder="1" applyAlignment="1">
      <alignment horizontal="left" vertical="center" wrapText="1"/>
    </xf>
    <xf numFmtId="0" fontId="4" fillId="8" borderId="2" xfId="365" applyFont="1" applyFill="1" applyBorder="1" applyAlignment="1">
      <alignment vertical="center"/>
    </xf>
    <xf numFmtId="0" fontId="23" fillId="8" borderId="2" xfId="365" applyFont="1" applyFill="1" applyBorder="1" applyAlignment="1">
      <alignment vertical="center" wrapText="1"/>
    </xf>
    <xf numFmtId="0" fontId="4" fillId="8" borderId="2" xfId="365" applyFont="1" applyFill="1" applyBorder="1" applyAlignment="1">
      <alignment horizontal="center" vertical="center" wrapText="1"/>
    </xf>
    <xf numFmtId="0" fontId="4" fillId="8" borderId="2" xfId="365" applyFont="1" applyFill="1" applyBorder="1" applyAlignment="1">
      <alignment horizontal="center" vertical="center"/>
    </xf>
    <xf numFmtId="215" fontId="23" fillId="8" borderId="2" xfId="1" applyNumberFormat="1" applyFont="1" applyFill="1" applyBorder="1" applyAlignment="1">
      <alignment vertical="center"/>
    </xf>
    <xf numFmtId="0" fontId="1" fillId="5" borderId="4" xfId="0" applyFont="1" applyFill="1" applyBorder="1" applyAlignment="1" quotePrefix="1">
      <alignment horizontal="center" vertical="center"/>
    </xf>
    <xf numFmtId="0" fontId="4" fillId="0" borderId="4" xfId="0" applyFont="1" applyBorder="1" applyAlignment="1" quotePrefix="1">
      <alignment horizontal="left" vertical="center" wrapText="1"/>
    </xf>
  </cellXfs>
  <cellStyles count="506">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0" xfId="49"/>
    <cellStyle name="??&amp;O?&amp;H?_x0008__x000f__x0007_?_x0007__x0001__x0001_" xfId="50"/>
    <cellStyle name="??&amp;O?&amp;H?_x0008_??_x0007__x0001__x0001_" xfId="51"/>
    <cellStyle name="?W?_laroux" xfId="52"/>
    <cellStyle name="_▷기본자료기록" xfId="53"/>
    <cellStyle name="_▷기본자료들" xfId="54"/>
    <cellStyle name="_Book2" xfId="55"/>
    <cellStyle name="_BoQ - moi thau - co dien ngay 06052009 (final)" xfId="56"/>
    <cellStyle name="_RESULTS" xfId="57"/>
    <cellStyle name="_가락동75-15근린생활(수정)" xfId="58"/>
    <cellStyle name="_갑지양식" xfId="59"/>
    <cellStyle name="_강릉남산교-제출본" xfId="60"/>
    <cellStyle name="_건축공사" xfId="61"/>
    <cellStyle name="_견적서갑지양식" xfId="62"/>
    <cellStyle name="_계룡네거리원설계" xfId="63"/>
    <cellStyle name="_계약특기사항3" xfId="64"/>
    <cellStyle name="_고려-수원미네시티(작업)" xfId="65"/>
    <cellStyle name="_공문 " xfId="66"/>
    <cellStyle name="_공문 _내역서" xfId="67"/>
    <cellStyle name="_공문양식" xfId="68"/>
    <cellStyle name="_공원시설정비공사" xfId="69"/>
    <cellStyle name="_공주대학교파고라" xfId="70"/>
    <cellStyle name="_구즉내역서" xfId="71"/>
    <cellStyle name="_기성검사원" xfId="72"/>
    <cellStyle name="_기성검사원_내역서" xfId="73"/>
    <cellStyle name="_기초단가" xfId="74"/>
    <cellStyle name="_내역서" xfId="75"/>
    <cellStyle name="_노은근린공원체육시설" xfId="76"/>
    <cellStyle name="_단가2월" xfId="77"/>
    <cellStyle name="_단가표" xfId="78"/>
    <cellStyle name="_대전둔산E-MART(A공구)" xfId="79"/>
    <cellStyle name="_도급내역" xfId="80"/>
    <cellStyle name="_도로공사대전지사" xfId="81"/>
    <cellStyle name="_동원꽃농원" xfId="82"/>
    <cellStyle name="_망향휴게소조경시설물설치공사" xfId="83"/>
    <cellStyle name="_목재경계목" xfId="84"/>
    <cellStyle name="_사각파고라" xfId="85"/>
    <cellStyle name="_사유서" xfId="86"/>
    <cellStyle name="_사유서_내역서" xfId="87"/>
    <cellStyle name="_산남건축내역(범양69.2억3.22)" xfId="88"/>
    <cellStyle name="_산남건축내역(실행2.8)재작성" xfId="89"/>
    <cellStyle name="_송현실행내역" xfId="90"/>
    <cellStyle name="_수량제목" xfId="91"/>
    <cellStyle name="_수량제목_내역서" xfId="92"/>
    <cellStyle name="_신탄진선(태림)" xfId="93"/>
    <cellStyle name="_왕가봉정비공사" xfId="94"/>
    <cellStyle name="_원석학ᱴ본관개축견적" xfId="95"/>
    <cellStyle name="_원석학원본관개축견적" xfId="96"/>
    <cellStyle name="_원석학원작업" xfId="97"/>
    <cellStyle name="_은평공원테니스장정비공사" xfId="98"/>
    <cellStyle name="_작업내역(전기,통신)" xfId="99"/>
    <cellStyle name="_장대공원 설계서(강윤구)" xfId="100"/>
    <cellStyle name="_전기도급내역서" xfId="101"/>
    <cellStyle name="_제목" xfId="102"/>
    <cellStyle name="_제목_내역서" xfId="103"/>
    <cellStyle name="_중구민병기복계단" xfId="104"/>
    <cellStyle name="_청량설비" xfId="105"/>
    <cellStyle name="_판암근린공원황톳길조성공사" xfId="106"/>
    <cellStyle name="_평상" xfId="107"/>
    <cellStyle name="_포항실행견적내역" xfId="108"/>
    <cellStyle name="_한국원자력안전기술원" xfId="109"/>
    <cellStyle name="_한전연구견적" xfId="110"/>
    <cellStyle name="_협력업체list" xfId="111"/>
    <cellStyle name="_홍대,화정견적" xfId="112"/>
    <cellStyle name="’E‰Y [0.00]_laroux" xfId="113"/>
    <cellStyle name="’E‰Y_laroux" xfId="114"/>
    <cellStyle name="¤@?e_TEST-1 " xfId="115"/>
    <cellStyle name="æØè [0.00]_Region Orders (2)" xfId="116"/>
    <cellStyle name="æØè_Region Orders (2)" xfId="117"/>
    <cellStyle name="ÊÝ [0.00]_Region Orders (2)" xfId="118"/>
    <cellStyle name="ÊÝ_Region Orders (2)" xfId="119"/>
    <cellStyle name="W_Pacific Region P&amp;L" xfId="120"/>
    <cellStyle name="0,0_x000d__x000a_NA_x000d__x000a_" xfId="121"/>
    <cellStyle name="0.0" xfId="122"/>
    <cellStyle name="0.00" xfId="123"/>
    <cellStyle name="20% - Accent1 2" xfId="124"/>
    <cellStyle name="20% - Accent1 3" xfId="125"/>
    <cellStyle name="20% - Accent1 4" xfId="126"/>
    <cellStyle name="20% - Accent2 2" xfId="127"/>
    <cellStyle name="20% - Accent2 3" xfId="128"/>
    <cellStyle name="20% - Accent2 4" xfId="129"/>
    <cellStyle name="20% - Accent3 2" xfId="130"/>
    <cellStyle name="20% - Accent3 3" xfId="131"/>
    <cellStyle name="20% - Accent3 4" xfId="132"/>
    <cellStyle name="20% - Accent4 2" xfId="133"/>
    <cellStyle name="20% - Accent4 3" xfId="134"/>
    <cellStyle name="20% - Accent4 4" xfId="135"/>
    <cellStyle name="20% - Accent5 2" xfId="136"/>
    <cellStyle name="20% - Accent5 3" xfId="137"/>
    <cellStyle name="20% - Accent5 4" xfId="138"/>
    <cellStyle name="20% - Accent6 2" xfId="139"/>
    <cellStyle name="20% - Accent6 3" xfId="140"/>
    <cellStyle name="20% - Accent6 4" xfId="141"/>
    <cellStyle name="20% - 강조색1" xfId="142"/>
    <cellStyle name="20% - 강조색2" xfId="143"/>
    <cellStyle name="20% - 강조색3" xfId="144"/>
    <cellStyle name="20% - 강조색4" xfId="145"/>
    <cellStyle name="20% - 강조색5" xfId="146"/>
    <cellStyle name="20% - 강조색6" xfId="147"/>
    <cellStyle name="40% - Accent1 2" xfId="148"/>
    <cellStyle name="40% - Accent1 3" xfId="149"/>
    <cellStyle name="40% - Accent1 4" xfId="150"/>
    <cellStyle name="40% - Accent2 2" xfId="151"/>
    <cellStyle name="40% - Accent2 3" xfId="152"/>
    <cellStyle name="40% - Accent2 4" xfId="153"/>
    <cellStyle name="40% - Accent3 2" xfId="154"/>
    <cellStyle name="40% - Accent3 3" xfId="155"/>
    <cellStyle name="40% - Accent3 4" xfId="156"/>
    <cellStyle name="40% - Accent4 2" xfId="157"/>
    <cellStyle name="40% - Accent4 3" xfId="158"/>
    <cellStyle name="40% - Accent4 4" xfId="159"/>
    <cellStyle name="40% - Accent5 2" xfId="160"/>
    <cellStyle name="40% - Accent5 3" xfId="161"/>
    <cellStyle name="40% - Accent5 4" xfId="162"/>
    <cellStyle name="40% - Accent6 2" xfId="163"/>
    <cellStyle name="40% - Accent6 3" xfId="164"/>
    <cellStyle name="40% - Accent6 4" xfId="165"/>
    <cellStyle name="40% - 강조색1" xfId="166"/>
    <cellStyle name="40% - 강조색2" xfId="167"/>
    <cellStyle name="40% - 강조색3" xfId="168"/>
    <cellStyle name="40% - 강조색4" xfId="169"/>
    <cellStyle name="40% - 강조색5" xfId="170"/>
    <cellStyle name="40% - 강조색6" xfId="171"/>
    <cellStyle name="60% - Accent1 2" xfId="172"/>
    <cellStyle name="60% - Accent1 3" xfId="173"/>
    <cellStyle name="60% - Accent1 4" xfId="174"/>
    <cellStyle name="60% - Accent2 2" xfId="175"/>
    <cellStyle name="60% - Accent2 3" xfId="176"/>
    <cellStyle name="60% - Accent2 4" xfId="177"/>
    <cellStyle name="60% - Accent3 2" xfId="178"/>
    <cellStyle name="60% - Accent3 3" xfId="179"/>
    <cellStyle name="60% - Accent3 4" xfId="180"/>
    <cellStyle name="60% - Accent4 2" xfId="181"/>
    <cellStyle name="60% - Accent4 3" xfId="182"/>
    <cellStyle name="60% - Accent4 4" xfId="183"/>
    <cellStyle name="60% - Accent5 2" xfId="184"/>
    <cellStyle name="60% - Accent5 3" xfId="185"/>
    <cellStyle name="60% - Accent5 4" xfId="186"/>
    <cellStyle name="60% - Accent6 2" xfId="187"/>
    <cellStyle name="60% - Accent6 3" xfId="188"/>
    <cellStyle name="60% - Accent6 4" xfId="189"/>
    <cellStyle name="60% - 강조색1" xfId="190"/>
    <cellStyle name="60% - 강조색2" xfId="191"/>
    <cellStyle name="60% - 강조색3" xfId="192"/>
    <cellStyle name="60% - 강조색4" xfId="193"/>
    <cellStyle name="60% - 강조색5" xfId="194"/>
    <cellStyle name="60% - 강조색6" xfId="195"/>
    <cellStyle name="75" xfId="196"/>
    <cellStyle name="A4 Small 210 x 297 mm" xfId="197"/>
    <cellStyle name="A4 Small 210 x 297 mm 2" xfId="198"/>
    <cellStyle name="A4 Small 210 x 297 mm_Thuy dien Pleikrong extra-VDD" xfId="199"/>
    <cellStyle name="Accent1 2" xfId="200"/>
    <cellStyle name="Accent1 3" xfId="201"/>
    <cellStyle name="Accent1 4" xfId="202"/>
    <cellStyle name="Accent2 2" xfId="203"/>
    <cellStyle name="Accent2 3" xfId="204"/>
    <cellStyle name="Accent2 4" xfId="205"/>
    <cellStyle name="Accent3 2" xfId="206"/>
    <cellStyle name="Accent3 3" xfId="207"/>
    <cellStyle name="Accent3 4" xfId="208"/>
    <cellStyle name="Accent4 2" xfId="209"/>
    <cellStyle name="Accent4 3" xfId="210"/>
    <cellStyle name="Accent4 4" xfId="211"/>
    <cellStyle name="Accent5 2" xfId="212"/>
    <cellStyle name="Accent5 3" xfId="213"/>
    <cellStyle name="Accent5 4" xfId="214"/>
    <cellStyle name="Accent6 2" xfId="215"/>
    <cellStyle name="Accent6 3" xfId="216"/>
    <cellStyle name="Accent6 4" xfId="217"/>
    <cellStyle name="ÅëÈ­ [0]_±âÅ¸" xfId="218"/>
    <cellStyle name="AeE­ [0]_AMT " xfId="219"/>
    <cellStyle name="ÅëÈ­_±âÅ¸" xfId="220"/>
    <cellStyle name="AeE­_AMT " xfId="221"/>
    <cellStyle name="ALIGNMENT" xfId="222"/>
    <cellStyle name="args.style" xfId="223"/>
    <cellStyle name="ÄÞ¸¶ [0]_±âÅ¸" xfId="224"/>
    <cellStyle name="AÞ¸¶ [0]_A÷¿ø±Þ·a " xfId="225"/>
    <cellStyle name="ÄÞ¸¶_±âÅ¸" xfId="226"/>
    <cellStyle name="AÞ¸¶_AN°y(1.25) " xfId="227"/>
    <cellStyle name="Bad 2" xfId="228"/>
    <cellStyle name="Bad 3" xfId="229"/>
    <cellStyle name="Bad 4" xfId="230"/>
    <cellStyle name="Body" xfId="231"/>
    <cellStyle name="Ç¥ÁØ_¿¬°£´©°è¿¹»ó" xfId="232"/>
    <cellStyle name="C￥AØ_¿ø°¡SM " xfId="233"/>
    <cellStyle name="Calc Currency (0)" xfId="234"/>
    <cellStyle name="Calculation 2" xfId="235"/>
    <cellStyle name="Calculation 3" xfId="236"/>
    <cellStyle name="Calculation 4" xfId="237"/>
    <cellStyle name="category" xfId="238"/>
    <cellStyle name="Comma 2" xfId="239"/>
    <cellStyle name="Comma 2 11" xfId="240"/>
    <cellStyle name="Comma 2 16" xfId="241"/>
    <cellStyle name="Comma 2 16 2" xfId="242"/>
    <cellStyle name="Comma 2 2" xfId="243"/>
    <cellStyle name="Comma 2 2 2" xfId="244"/>
    <cellStyle name="Comma 2 2 2 2" xfId="245"/>
    <cellStyle name="Comma 2 2 3" xfId="246"/>
    <cellStyle name="Comma 2 3" xfId="247"/>
    <cellStyle name="Comma 2 4" xfId="248"/>
    <cellStyle name="Comma 3" xfId="249"/>
    <cellStyle name="Comma 3 2" xfId="250"/>
    <cellStyle name="Comma 3 2 2" xfId="251"/>
    <cellStyle name="Comma 3 2 3" xfId="252"/>
    <cellStyle name="Comma 3 3" xfId="253"/>
    <cellStyle name="Comma 3 4" xfId="254"/>
    <cellStyle name="Comma 4" xfId="255"/>
    <cellStyle name="Comma 4 2" xfId="256"/>
    <cellStyle name="Comma 5" xfId="257"/>
    <cellStyle name="Comma 6" xfId="258"/>
    <cellStyle name="Comma 6 2" xfId="259"/>
    <cellStyle name="Comma 7" xfId="260"/>
    <cellStyle name="comma zerodec" xfId="261"/>
    <cellStyle name="Comma0" xfId="262"/>
    <cellStyle name="Comma0 2" xfId="263"/>
    <cellStyle name="Copied" xfId="264"/>
    <cellStyle name="COST1" xfId="265"/>
    <cellStyle name="Curre~cy [0]_MATERAL2" xfId="266"/>
    <cellStyle name="Curren?_x0012_퐀_x0017_?" xfId="267"/>
    <cellStyle name="Currency 2" xfId="268"/>
    <cellStyle name="currency-$" xfId="269"/>
    <cellStyle name="Currency0" xfId="270"/>
    <cellStyle name="Currency0 2" xfId="271"/>
    <cellStyle name="Currency1" xfId="272"/>
    <cellStyle name="Check Cell 2" xfId="273"/>
    <cellStyle name="Check Cell 3" xfId="274"/>
    <cellStyle name="Check Cell 4" xfId="275"/>
    <cellStyle name="Date" xfId="276"/>
    <cellStyle name="Date 2" xfId="277"/>
    <cellStyle name="Dezimal [0]_laroux" xfId="278"/>
    <cellStyle name="Dezimal_laroux" xfId="279"/>
    <cellStyle name="Dollar (zero dec)" xfId="280"/>
    <cellStyle name="EA" xfId="281"/>
    <cellStyle name="Entered" xfId="282"/>
    <cellStyle name="Explanatory Text 2" xfId="283"/>
    <cellStyle name="Explanatory Text 3" xfId="284"/>
    <cellStyle name="Explanatory Text 4" xfId="285"/>
    <cellStyle name="F2" xfId="286"/>
    <cellStyle name="F3" xfId="287"/>
    <cellStyle name="F4" xfId="288"/>
    <cellStyle name="F5" xfId="289"/>
    <cellStyle name="F6" xfId="290"/>
    <cellStyle name="F7" xfId="291"/>
    <cellStyle name="F8" xfId="292"/>
    <cellStyle name="Fixed" xfId="293"/>
    <cellStyle name="Fixed 2" xfId="294"/>
    <cellStyle name="Good 2" xfId="295"/>
    <cellStyle name="Good 3" xfId="296"/>
    <cellStyle name="Good 4" xfId="297"/>
    <cellStyle name="Grey" xfId="298"/>
    <cellStyle name="HEADER" xfId="299"/>
    <cellStyle name="Header1" xfId="300"/>
    <cellStyle name="Header2" xfId="301"/>
    <cellStyle name="Header2 2" xfId="302"/>
    <cellStyle name="Heading 1 2" xfId="303"/>
    <cellStyle name="Heading 1 2 2" xfId="304"/>
    <cellStyle name="Heading 1 3" xfId="305"/>
    <cellStyle name="Heading 1 4" xfId="306"/>
    <cellStyle name="Heading 2 2" xfId="307"/>
    <cellStyle name="Heading 2 2 2" xfId="308"/>
    <cellStyle name="Heading 2 3" xfId="309"/>
    <cellStyle name="Heading 2 4" xfId="310"/>
    <cellStyle name="Heading 3 2" xfId="311"/>
    <cellStyle name="Heading 3 3" xfId="312"/>
    <cellStyle name="Heading 3 4" xfId="313"/>
    <cellStyle name="Heading 4 2" xfId="314"/>
    <cellStyle name="Heading 4 3" xfId="315"/>
    <cellStyle name="Heading 4 4" xfId="316"/>
    <cellStyle name="Heading1" xfId="317"/>
    <cellStyle name="Heading1 2" xfId="318"/>
    <cellStyle name="Heading2" xfId="319"/>
    <cellStyle name="Heading2 2" xfId="320"/>
    <cellStyle name="Hyperlink 2" xfId="321"/>
    <cellStyle name="Hyperlink 2 2" xfId="322"/>
    <cellStyle name="Input [yellow]" xfId="323"/>
    <cellStyle name="Input 2" xfId="324"/>
    <cellStyle name="Input 3" xfId="325"/>
    <cellStyle name="Input 4" xfId="326"/>
    <cellStyle name="Input 5" xfId="327"/>
    <cellStyle name="Input Cells" xfId="328"/>
    <cellStyle name="kg" xfId="329"/>
    <cellStyle name="Ledger 17 x 11 in" xfId="330"/>
    <cellStyle name="Linked Cell 2" xfId="331"/>
    <cellStyle name="Linked Cell 3" xfId="332"/>
    <cellStyle name="Linked Cell 4" xfId="333"/>
    <cellStyle name="Linked Cells" xfId="334"/>
    <cellStyle name="M" xfId="335"/>
    <cellStyle name="M3" xfId="336"/>
    <cellStyle name="Milliers [0]_Arabian Spec" xfId="337"/>
    <cellStyle name="Milliers_Arabian Spec" xfId="338"/>
    <cellStyle name="Model" xfId="339"/>
    <cellStyle name="Mon?aire [0]_Arabian Spec" xfId="340"/>
    <cellStyle name="Mon?aire_Arabian Spec" xfId="341"/>
    <cellStyle name="Monétaire [0]_CTC" xfId="342"/>
    <cellStyle name="Monétaire_CTC" xfId="343"/>
    <cellStyle name="Neutral 2" xfId="344"/>
    <cellStyle name="Neutral 3" xfId="345"/>
    <cellStyle name="Neutral 4" xfId="346"/>
    <cellStyle name="no dec" xfId="347"/>
    <cellStyle name="Normal - Style1" xfId="348"/>
    <cellStyle name="Normal - Style1 15" xfId="349"/>
    <cellStyle name="Normal 10" xfId="350"/>
    <cellStyle name="Normal 10 2" xfId="351"/>
    <cellStyle name="Normal 11" xfId="352"/>
    <cellStyle name="Normal 11 2" xfId="353"/>
    <cellStyle name="Normal 12" xfId="354"/>
    <cellStyle name="Normal 12 2" xfId="355"/>
    <cellStyle name="Normal 13" xfId="356"/>
    <cellStyle name="Normal 13 2" xfId="357"/>
    <cellStyle name="Normal 14" xfId="358"/>
    <cellStyle name="Normal 15" xfId="359"/>
    <cellStyle name="Normal 16" xfId="360"/>
    <cellStyle name="Normal 17" xfId="361"/>
    <cellStyle name="Normal 18" xfId="362"/>
    <cellStyle name="Normal 19" xfId="363"/>
    <cellStyle name="Normal 2" xfId="364"/>
    <cellStyle name="Normal 2 2" xfId="365"/>
    <cellStyle name="Normal 2 2 2" xfId="366"/>
    <cellStyle name="Normal 2 2 2 3" xfId="367"/>
    <cellStyle name="Normal 2 2 2 4" xfId="368"/>
    <cellStyle name="Normal 2 2 3" xfId="369"/>
    <cellStyle name="Normal 2 3" xfId="370"/>
    <cellStyle name="Normal 2 5 2" xfId="371"/>
    <cellStyle name="Normal 2_Price list 2012 for VNABB" xfId="372"/>
    <cellStyle name="Normal 20" xfId="373"/>
    <cellStyle name="Normal 21" xfId="374"/>
    <cellStyle name="Normal 22" xfId="375"/>
    <cellStyle name="Normal 23" xfId="376"/>
    <cellStyle name="Normal 3" xfId="377"/>
    <cellStyle name="Normal 3 2" xfId="378"/>
    <cellStyle name="Normal 3 2 2" xfId="379"/>
    <cellStyle name="Normal 3 3" xfId="380"/>
    <cellStyle name="Normal 3 4" xfId="381"/>
    <cellStyle name="Normal 4" xfId="382"/>
    <cellStyle name="Normal 4 2" xfId="383"/>
    <cellStyle name="Normal 4 3" xfId="384"/>
    <cellStyle name="Normal 5" xfId="385"/>
    <cellStyle name="Normal 6" xfId="386"/>
    <cellStyle name="Normal 6 2" xfId="387"/>
    <cellStyle name="Normal 7" xfId="388"/>
    <cellStyle name="Normal 7 2" xfId="389"/>
    <cellStyle name="Normal 8" xfId="390"/>
    <cellStyle name="Normal 8 2" xfId="391"/>
    <cellStyle name="Normal 9" xfId="392"/>
    <cellStyle name="Normal 9 2" xfId="393"/>
    <cellStyle name="Normal_BG BUSWAY TU TRUNG HA THE" xfId="394"/>
    <cellStyle name="Normal_NHATMINH" xfId="395"/>
    <cellStyle name="Normal_Sheet1 2" xfId="396"/>
    <cellStyle name="Note 2" xfId="397"/>
    <cellStyle name="Note 2 2" xfId="398"/>
    <cellStyle name="Note 3" xfId="399"/>
    <cellStyle name="Note 3 2" xfId="400"/>
    <cellStyle name="Note 4" xfId="401"/>
    <cellStyle name="Œ…?æ맖?e [0.00]_laroux" xfId="402"/>
    <cellStyle name="Œ…?æ맖?e_laroux" xfId="403"/>
    <cellStyle name="Output 2" xfId="404"/>
    <cellStyle name="Output 3" xfId="405"/>
    <cellStyle name="Output 4" xfId="406"/>
    <cellStyle name="per.style" xfId="407"/>
    <cellStyle name="Percent [2]" xfId="408"/>
    <cellStyle name="Percent 2" xfId="409"/>
    <cellStyle name="Percent 2 2" xfId="410"/>
    <cellStyle name="Percent 3" xfId="411"/>
    <cellStyle name="pricing" xfId="412"/>
    <cellStyle name="PSChar" xfId="413"/>
    <cellStyle name="RevList" xfId="414"/>
    <cellStyle name="Standard_Eröffnungsbeleg - Massenanlage" xfId="415"/>
    <cellStyle name="Style 1" xfId="416"/>
    <cellStyle name="Style 1 2 2" xfId="417"/>
    <cellStyle name="subhead" xfId="418"/>
    <cellStyle name="Subtotal" xfId="419"/>
    <cellStyle name="title [1]" xfId="420"/>
    <cellStyle name="title [2]" xfId="421"/>
    <cellStyle name="Title 2" xfId="422"/>
    <cellStyle name="Title 2 2" xfId="423"/>
    <cellStyle name="Title 3" xfId="424"/>
    <cellStyle name="Title 4" xfId="425"/>
    <cellStyle name="Title 5" xfId="426"/>
    <cellStyle name="Total 2" xfId="427"/>
    <cellStyle name="Total 2 2" xfId="428"/>
    <cellStyle name="Total 3" xfId="429"/>
    <cellStyle name="Total 4" xfId="430"/>
    <cellStyle name="UM" xfId="431"/>
    <cellStyle name="W?rung [0]_laroux" xfId="432"/>
    <cellStyle name="W?rung_laroux" xfId="433"/>
    <cellStyle name="Warning Text 2" xfId="434"/>
    <cellStyle name="Warning Text 3" xfId="435"/>
    <cellStyle name="Warning Text 4" xfId="436"/>
    <cellStyle name="강조색1" xfId="437"/>
    <cellStyle name="강조색2" xfId="438"/>
    <cellStyle name="강조색3" xfId="439"/>
    <cellStyle name="강조색4" xfId="440"/>
    <cellStyle name="강조색5" xfId="441"/>
    <cellStyle name="강조색6" xfId="442"/>
    <cellStyle name="경고문" xfId="443"/>
    <cellStyle name="계산" xfId="444"/>
    <cellStyle name="고정소숫점" xfId="445"/>
    <cellStyle name="고정출력1" xfId="446"/>
    <cellStyle name="고정출력2" xfId="447"/>
    <cellStyle name="국종합건설" xfId="448"/>
    <cellStyle name="글씨빵강" xfId="449"/>
    <cellStyle name="나쁨" xfId="450"/>
    <cellStyle name="날짜" xfId="451"/>
    <cellStyle name="내역서" xfId="452"/>
    <cellStyle name="달러" xfId="453"/>
    <cellStyle name="뒤에 오는 하이퍼링크_2001 가로수 식재공사" xfId="454"/>
    <cellStyle name="똿뗦먛귟 [0.00]_PRODUCT DETAIL Q1" xfId="455"/>
    <cellStyle name="똿뗦먛귟_PRODUCT DETAIL Q1" xfId="456"/>
    <cellStyle name="메모" xfId="457"/>
    <cellStyle name="믅됞 [0.00]_PRODUCT DETAIL Q1" xfId="458"/>
    <cellStyle name="믅됞_PRODUCT DETAIL Q1" xfId="459"/>
    <cellStyle name="백분율 [0]" xfId="460"/>
    <cellStyle name="백분율 [2]" xfId="461"/>
    <cellStyle name="백분율_95" xfId="462"/>
    <cellStyle name="보통" xfId="463"/>
    <cellStyle name="뷭?" xfId="464"/>
    <cellStyle name="설명 텍스트" xfId="465"/>
    <cellStyle name="셀 확인" xfId="466"/>
    <cellStyle name="숫자(R)" xfId="467"/>
    <cellStyle name="쉼표 [0] 2" xfId="468"/>
    <cellStyle name="쉼표 2" xfId="469"/>
    <cellStyle name="스타일 1" xfId="470"/>
    <cellStyle name="안건회계법인" xfId="471"/>
    <cellStyle name="연결된 셀" xfId="472"/>
    <cellStyle name="왼쪽2" xfId="473"/>
    <cellStyle name="요약" xfId="474"/>
    <cellStyle name="원" xfId="475"/>
    <cellStyle name="유상진" xfId="476"/>
    <cellStyle name="입력" xfId="477"/>
    <cellStyle name="자리수" xfId="478"/>
    <cellStyle name="자리수0" xfId="479"/>
    <cellStyle name="제목" xfId="480"/>
    <cellStyle name="제목 1" xfId="481"/>
    <cellStyle name="제목 2" xfId="482"/>
    <cellStyle name="제목 3" xfId="483"/>
    <cellStyle name="제목 4" xfId="484"/>
    <cellStyle name="좋음" xfId="485"/>
    <cellStyle name="지정되지 않음" xfId="486"/>
    <cellStyle name="출력" xfId="487"/>
    <cellStyle name="콤마 [0]_ 견적기준 FLOW " xfId="488"/>
    <cellStyle name="콤마 [2]" xfId="489"/>
    <cellStyle name="콤마_  RANGE " xfId="490"/>
    <cellStyle name="통화 [0]_1202" xfId="491"/>
    <cellStyle name="통화_1202" xfId="492"/>
    <cellStyle name="퍼센트" xfId="493"/>
    <cellStyle name="표준 2" xfId="494"/>
    <cellStyle name="표준_(정보부문)월별인원계획" xfId="495"/>
    <cellStyle name="합산" xfId="496"/>
    <cellStyle name="화폐기호" xfId="497"/>
    <cellStyle name="화폐기호0" xfId="498"/>
    <cellStyle name="一般_Book1" xfId="499"/>
    <cellStyle name="千分位[0]_Book1" xfId="500"/>
    <cellStyle name="千分位_Book1" xfId="501"/>
    <cellStyle name="常规_Singapore08-09pricelist" xfId="502"/>
    <cellStyle name="標準_Akia(F）-8" xfId="503"/>
    <cellStyle name="貨幣 [0]_Book1" xfId="504"/>
    <cellStyle name="貨幣_Book1" xfId="505"/>
  </cellStyles>
  <tableStyles count="0" defaultTableStyle="TableStyleMedium2" defaultPivotStyle="PivotStyleLight16"/>
  <colors>
    <mruColors>
      <color rgb="00FF0000"/>
      <color rgb="0000FFFF"/>
      <color rgb="00FF0066"/>
      <color rgb="00FF33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10</xdr:col>
      <xdr:colOff>0</xdr:colOff>
      <xdr:row>9</xdr:row>
      <xdr:rowOff>0</xdr:rowOff>
    </xdr:from>
    <xdr:to>
      <xdr:col>11</xdr:col>
      <xdr:colOff>332991</xdr:colOff>
      <xdr:row>9</xdr:row>
      <xdr:rowOff>0</xdr:rowOff>
    </xdr:to>
    <xdr:pic>
      <xdr:nvPicPr>
        <xdr:cNvPr id="2" name="Picture 2"/>
        <xdr:cNvPicPr>
          <a:picLocks noChangeAspect="1" noChangeArrowheads="1"/>
        </xdr:cNvPicPr>
      </xdr:nvPicPr>
      <xdr:blipFill>
        <a:blip r:embed="rId1" cstate="print"/>
        <a:srcRect/>
        <a:stretch>
          <a:fillRect/>
        </a:stretch>
      </xdr:blipFill>
      <xdr:spPr>
        <a:xfrm>
          <a:off x="13014960" y="2633980"/>
          <a:ext cx="1683385" cy="0"/>
        </a:xfrm>
        <a:prstGeom prst="rect">
          <a:avLst/>
        </a:prstGeom>
        <a:noFill/>
      </xdr:spPr>
    </xdr:pic>
    <xdr:clientData/>
  </xdr:twoCellAnchor>
  <xdr:twoCellAnchor editAs="oneCell">
    <xdr:from>
      <xdr:col>0</xdr:col>
      <xdr:colOff>167640</xdr:colOff>
      <xdr:row>0</xdr:row>
      <xdr:rowOff>60960</xdr:rowOff>
    </xdr:from>
    <xdr:to>
      <xdr:col>1</xdr:col>
      <xdr:colOff>1097280</xdr:colOff>
      <xdr:row>2</xdr:row>
      <xdr:rowOff>953687</xdr:rowOff>
    </xdr:to>
    <xdr:pic>
      <xdr:nvPicPr>
        <xdr:cNvPr id="3" name="Picture 1" descr="logo copy.jpg"/>
        <xdr:cNvPicPr>
          <a:picLocks noChangeAspect="1"/>
        </xdr:cNvPicPr>
      </xdr:nvPicPr>
      <xdr:blipFill>
        <a:blip r:embed="rId2">
          <a:extLst>
            <a:ext uri="{28A0092B-C50C-407E-A947-70E740481C1C}">
              <a14:useLocalDpi xmlns:a14="http://schemas.microsoft.com/office/drawing/2010/main" val="0"/>
            </a:ext>
          </a:extLst>
        </a:blip>
        <a:srcRect/>
        <a:stretch>
          <a:fillRect/>
        </a:stretch>
      </xdr:blipFill>
      <xdr:spPr>
        <a:xfrm>
          <a:off x="167640" y="60960"/>
          <a:ext cx="1286510" cy="1273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E179"/>
  <sheetViews>
    <sheetView tabSelected="1" view="pageBreakPreview" zoomScale="70" zoomScaleNormal="100" workbookViewId="0">
      <selection activeCell="N3" sqref="N3"/>
    </sheetView>
  </sheetViews>
  <sheetFormatPr defaultColWidth="9.10909090909091" defaultRowHeight="15.5"/>
  <cols>
    <col min="1" max="1" width="5.10909090909091" style="60" customWidth="1"/>
    <col min="2" max="2" width="52.1090909090909" style="61" customWidth="1"/>
    <col min="3" max="3" width="27.6636363636364" style="62" customWidth="1"/>
    <col min="4" max="4" width="23.1090909090909" style="63" customWidth="1"/>
    <col min="5" max="5" width="9.21818181818182" style="60" customWidth="1"/>
    <col min="6" max="6" width="11.1090909090909" style="60" customWidth="1"/>
    <col min="7" max="7" width="13.8909090909091" style="60" customWidth="1"/>
    <col min="8" max="8" width="11.7818181818182" style="60" customWidth="1"/>
    <col min="9" max="9" width="15.3363636363636" style="60" customWidth="1"/>
    <col min="10" max="10" width="17" style="60" customWidth="1"/>
    <col min="11" max="11" width="19.3363636363636" style="60" customWidth="1"/>
    <col min="12" max="16384" width="9.10909090909091" style="64"/>
  </cols>
  <sheetData>
    <row r="1" ht="15" customHeight="1" spans="1:31">
      <c r="A1" s="65" t="s">
        <v>0</v>
      </c>
      <c r="B1" s="66"/>
      <c r="C1" s="66"/>
      <c r="D1" s="66"/>
      <c r="E1" s="66"/>
      <c r="F1" s="66"/>
      <c r="G1" s="66"/>
      <c r="H1" s="66"/>
      <c r="I1" s="66"/>
      <c r="J1" s="66"/>
      <c r="K1" s="66"/>
      <c r="L1" s="67"/>
    </row>
    <row r="2" ht="15" customHeight="1" spans="1:31">
      <c r="A2" s="66"/>
      <c r="B2" s="66"/>
      <c r="C2" s="66"/>
      <c r="D2" s="66"/>
      <c r="E2" s="66"/>
      <c r="F2" s="66"/>
      <c r="G2" s="66"/>
      <c r="H2" s="66"/>
      <c r="I2" s="66"/>
      <c r="J2" s="66"/>
      <c r="K2" s="66"/>
      <c r="L2" s="67"/>
    </row>
    <row r="3" ht="80.4" customHeight="1" spans="1:31">
      <c r="A3" s="68"/>
      <c r="B3" s="68"/>
      <c r="C3" s="68"/>
      <c r="D3" s="68"/>
      <c r="E3" s="68"/>
      <c r="F3" s="68"/>
      <c r="G3" s="68"/>
      <c r="H3" s="68"/>
      <c r="I3" s="68"/>
      <c r="J3" s="68"/>
      <c r="K3" s="68"/>
      <c r="L3" s="67"/>
    </row>
    <row r="4" ht="7.2" customHeight="1" spans="1:31">
      <c r="A4" s="69"/>
      <c r="B4" s="69"/>
      <c r="C4" s="69"/>
      <c r="D4" s="69"/>
      <c r="E4" s="69"/>
      <c r="F4" s="69"/>
      <c r="G4" s="69"/>
      <c r="H4" s="69"/>
      <c r="I4" s="69"/>
      <c r="J4" s="69"/>
      <c r="K4" s="69"/>
      <c r="L4" s="70"/>
    </row>
    <row r="5" ht="19" customHeight="1" spans="1:31">
      <c r="A5" s="71" t="s">
        <v>1</v>
      </c>
      <c r="B5" s="71"/>
      <c r="C5" s="71"/>
      <c r="D5" s="71"/>
      <c r="E5" s="71"/>
      <c r="F5" s="71"/>
      <c r="G5" s="71"/>
      <c r="H5" s="71"/>
      <c r="I5" s="71"/>
      <c r="J5" s="71"/>
      <c r="K5" s="71"/>
      <c r="L5" s="71"/>
    </row>
    <row r="6" ht="22" customHeight="1" spans="1:31">
      <c r="A6" s="72" t="s">
        <v>2</v>
      </c>
      <c r="B6" s="72"/>
      <c r="C6" s="72"/>
      <c r="D6" s="72"/>
      <c r="E6" s="72"/>
      <c r="F6" s="72"/>
      <c r="G6" s="72"/>
      <c r="H6" s="72"/>
      <c r="I6" s="72"/>
      <c r="J6" s="72"/>
      <c r="K6" s="72"/>
      <c r="L6" s="72"/>
    </row>
    <row r="7" ht="16.8" customHeight="1" spans="1:31">
      <c r="A7" s="72" t="s">
        <v>3</v>
      </c>
      <c r="B7" s="72"/>
      <c r="C7" s="72"/>
      <c r="D7" s="72"/>
      <c r="E7" s="72"/>
      <c r="F7" s="72"/>
      <c r="G7" s="72"/>
      <c r="H7" s="72"/>
      <c r="I7" s="72"/>
      <c r="J7" s="72"/>
      <c r="K7" s="72"/>
      <c r="L7" s="73"/>
    </row>
    <row r="8" ht="16.5" spans="1:31">
      <c r="A8" s="72" t="s">
        <v>4</v>
      </c>
      <c r="B8" s="72"/>
      <c r="C8" s="72"/>
      <c r="D8" s="72"/>
      <c r="E8" s="72"/>
      <c r="F8" s="72"/>
      <c r="G8" s="72"/>
      <c r="H8" s="72"/>
      <c r="I8" s="72"/>
      <c r="J8" s="72"/>
      <c r="K8" s="72"/>
    </row>
    <row r="10" s="52" customFormat="1" ht="26.4" customHeight="1" spans="1:31">
      <c r="A10" s="74" t="s">
        <v>5</v>
      </c>
      <c r="B10" s="74" t="s">
        <v>6</v>
      </c>
      <c r="C10" s="74" t="s">
        <v>7</v>
      </c>
      <c r="D10" s="74" t="s">
        <v>8</v>
      </c>
      <c r="E10" s="74" t="s">
        <v>9</v>
      </c>
      <c r="F10" s="74" t="s">
        <v>10</v>
      </c>
      <c r="G10" s="75" t="s">
        <v>11</v>
      </c>
      <c r="H10" s="76"/>
      <c r="I10" s="77"/>
      <c r="J10" s="74" t="s">
        <v>12</v>
      </c>
      <c r="K10" s="74" t="s">
        <v>13</v>
      </c>
      <c r="L10" s="78"/>
      <c r="M10" s="78"/>
      <c r="N10" s="78"/>
      <c r="O10" s="78"/>
      <c r="P10" s="78"/>
      <c r="Q10" s="78"/>
      <c r="R10" s="78"/>
      <c r="S10" s="78"/>
      <c r="T10" s="78"/>
      <c r="U10" s="78"/>
      <c r="V10" s="78"/>
      <c r="W10" s="78"/>
      <c r="X10" s="78"/>
      <c r="Y10" s="78"/>
      <c r="Z10" s="78"/>
      <c r="AA10" s="78"/>
      <c r="AB10" s="78"/>
      <c r="AC10" s="78"/>
      <c r="AD10" s="78"/>
      <c r="AE10" s="78"/>
    </row>
    <row r="11" s="52" customFormat="1" spans="1:31">
      <c r="A11" s="79"/>
      <c r="B11" s="79"/>
      <c r="C11" s="79"/>
      <c r="D11" s="79"/>
      <c r="E11" s="79"/>
      <c r="F11" s="79"/>
      <c r="G11" s="79" t="s">
        <v>14</v>
      </c>
      <c r="H11" s="79" t="s">
        <v>15</v>
      </c>
      <c r="I11" s="79" t="s">
        <v>16</v>
      </c>
      <c r="J11" s="79"/>
      <c r="K11" s="79"/>
      <c r="L11" s="78"/>
      <c r="M11" s="78"/>
      <c r="N11" s="78"/>
      <c r="O11" s="78"/>
      <c r="P11" s="78"/>
      <c r="Q11" s="78"/>
      <c r="R11" s="78"/>
      <c r="S11" s="78"/>
      <c r="T11" s="78"/>
      <c r="U11" s="78"/>
      <c r="V11" s="78"/>
      <c r="W11" s="78"/>
      <c r="X11" s="78"/>
      <c r="Y11" s="78"/>
      <c r="Z11" s="78"/>
      <c r="AA11" s="78"/>
      <c r="AB11" s="78"/>
      <c r="AC11" s="78"/>
      <c r="AD11" s="78"/>
      <c r="AE11" s="78"/>
    </row>
    <row r="12" s="52" customFormat="1" spans="1:31">
      <c r="A12" s="80" t="s">
        <v>17</v>
      </c>
      <c r="B12" s="81" t="s">
        <v>18</v>
      </c>
      <c r="C12" s="80"/>
      <c r="D12" s="80"/>
      <c r="E12" s="80"/>
      <c r="F12" s="80"/>
      <c r="G12" s="80"/>
      <c r="H12" s="80"/>
      <c r="I12" s="80"/>
      <c r="J12" s="80"/>
      <c r="K12" s="80"/>
      <c r="L12" s="78"/>
      <c r="M12" s="78"/>
      <c r="N12" s="78"/>
      <c r="O12" s="78"/>
      <c r="P12" s="78"/>
      <c r="Q12" s="78"/>
      <c r="R12" s="78"/>
      <c r="S12" s="78"/>
      <c r="T12" s="78"/>
      <c r="U12" s="78"/>
      <c r="V12" s="78"/>
      <c r="W12" s="78"/>
      <c r="X12" s="78"/>
      <c r="Y12" s="78"/>
      <c r="Z12" s="78"/>
      <c r="AA12" s="78"/>
      <c r="AB12" s="78"/>
      <c r="AC12" s="78"/>
      <c r="AD12" s="78"/>
      <c r="AE12" s="78"/>
    </row>
    <row r="13" spans="1:31">
      <c r="A13" s="82" t="s">
        <v>19</v>
      </c>
      <c r="B13" s="83" t="s">
        <v>20</v>
      </c>
      <c r="C13" s="84"/>
      <c r="D13" s="85"/>
      <c r="E13" s="86"/>
      <c r="F13" s="85"/>
      <c r="G13" s="86"/>
      <c r="H13" s="86"/>
      <c r="I13" s="86"/>
      <c r="J13" s="86"/>
      <c r="K13" s="87"/>
    </row>
    <row r="14" s="53" customFormat="1" ht="28" spans="1:31">
      <c r="A14" s="88">
        <v>1</v>
      </c>
      <c r="B14" s="89" t="s">
        <v>21</v>
      </c>
      <c r="C14" s="90"/>
      <c r="D14" s="91" t="s">
        <v>22</v>
      </c>
      <c r="E14" s="88" t="s">
        <v>23</v>
      </c>
      <c r="F14" s="92">
        <f>550+8*3</f>
        <v>574</v>
      </c>
      <c r="G14" s="93">
        <v>4344600</v>
      </c>
      <c r="H14" s="93">
        <v>120000</v>
      </c>
      <c r="I14" s="94">
        <f t="shared" ref="I14" si="0">+H14+G14</f>
        <v>4464600</v>
      </c>
      <c r="J14" s="95">
        <f>+I14*F14</f>
        <v>2562680400</v>
      </c>
      <c r="K14" s="96"/>
      <c r="L14" s="97"/>
      <c r="M14" s="97"/>
      <c r="N14" s="97"/>
      <c r="O14" s="97"/>
      <c r="P14" s="97"/>
      <c r="Q14" s="97"/>
      <c r="R14" s="97"/>
      <c r="S14" s="97"/>
      <c r="T14" s="97"/>
      <c r="U14" s="97"/>
      <c r="V14" s="97"/>
      <c r="W14" s="97"/>
      <c r="X14" s="97"/>
      <c r="Y14" s="97"/>
      <c r="Z14" s="97"/>
      <c r="AA14" s="97"/>
      <c r="AB14" s="97"/>
      <c r="AC14" s="97"/>
      <c r="AD14" s="97"/>
      <c r="AE14" s="97"/>
    </row>
    <row r="15" spans="1:31">
      <c r="A15" s="88">
        <v>2</v>
      </c>
      <c r="B15" s="98" t="s">
        <v>24</v>
      </c>
      <c r="C15" s="99"/>
      <c r="D15" s="100" t="s">
        <v>25</v>
      </c>
      <c r="E15" s="101" t="s">
        <v>23</v>
      </c>
      <c r="F15" s="92">
        <f>550+8*1.5-65</f>
        <v>497</v>
      </c>
      <c r="G15" s="102">
        <v>120400</v>
      </c>
      <c r="H15" s="103">
        <v>55000</v>
      </c>
      <c r="I15" s="94">
        <f t="shared" ref="I15:I34" si="1">+H15+G15</f>
        <v>175400</v>
      </c>
      <c r="J15" s="95">
        <f>+I15*F15</f>
        <v>87173800</v>
      </c>
      <c r="K15" s="104"/>
    </row>
    <row r="16" spans="1:31">
      <c r="A16" s="88">
        <v>3</v>
      </c>
      <c r="B16" s="98" t="s">
        <v>26</v>
      </c>
      <c r="C16" s="99"/>
      <c r="D16" s="100" t="s">
        <v>27</v>
      </c>
      <c r="E16" s="101" t="s">
        <v>23</v>
      </c>
      <c r="F16" s="92">
        <f>46*2</f>
        <v>92</v>
      </c>
      <c r="G16" s="105">
        <v>1109862</v>
      </c>
      <c r="H16" s="105">
        <v>280000</v>
      </c>
      <c r="I16" s="94">
        <f t="shared" ref="I16" si="2">+H16+G16</f>
        <v>1389862</v>
      </c>
      <c r="J16" s="95">
        <f>+I16*F16</f>
        <v>127867304</v>
      </c>
      <c r="K16" s="104"/>
    </row>
    <row r="17" spans="1:11">
      <c r="A17" s="88">
        <v>4</v>
      </c>
      <c r="B17" s="98" t="s">
        <v>28</v>
      </c>
      <c r="C17" s="99"/>
      <c r="D17" s="100" t="s">
        <v>29</v>
      </c>
      <c r="E17" s="101" t="s">
        <v>30</v>
      </c>
      <c r="F17" s="106">
        <v>70</v>
      </c>
      <c r="G17" s="102">
        <v>25000</v>
      </c>
      <c r="H17" s="94">
        <v>10000</v>
      </c>
      <c r="I17" s="94">
        <f t="shared" si="1"/>
        <v>35000</v>
      </c>
      <c r="J17" s="95">
        <f t="shared" ref="J17:J28" si="3">+I17*F17</f>
        <v>2450000</v>
      </c>
      <c r="K17" s="104"/>
    </row>
    <row r="18" ht="28" spans="1:11">
      <c r="A18" s="88">
        <v>5</v>
      </c>
      <c r="B18" s="98" t="s">
        <v>31</v>
      </c>
      <c r="C18" s="99"/>
      <c r="D18" s="100"/>
      <c r="E18" s="101" t="s">
        <v>23</v>
      </c>
      <c r="F18" s="106">
        <f>F15-46</f>
        <v>451</v>
      </c>
      <c r="G18" s="102">
        <v>240500</v>
      </c>
      <c r="H18" s="103">
        <v>258500</v>
      </c>
      <c r="I18" s="94">
        <f t="shared" si="1"/>
        <v>499000</v>
      </c>
      <c r="J18" s="95">
        <f t="shared" si="3"/>
        <v>225049000</v>
      </c>
      <c r="K18" s="104"/>
    </row>
    <row r="19" ht="42" spans="1:11">
      <c r="A19" s="88">
        <v>6</v>
      </c>
      <c r="B19" s="98" t="s">
        <v>32</v>
      </c>
      <c r="C19" s="99"/>
      <c r="D19" s="100"/>
      <c r="E19" s="101" t="s">
        <v>23</v>
      </c>
      <c r="F19" s="106">
        <v>46</v>
      </c>
      <c r="G19" s="102">
        <v>240500</v>
      </c>
      <c r="H19" s="103">
        <v>297500</v>
      </c>
      <c r="I19" s="94">
        <f t="shared" ref="I19" si="4">+H19+G19</f>
        <v>538000</v>
      </c>
      <c r="J19" s="95">
        <f t="shared" ref="J19" si="5">+I19*F19</f>
        <v>24748000</v>
      </c>
      <c r="K19" s="104"/>
    </row>
    <row r="20" spans="1:11">
      <c r="A20" s="88">
        <v>7</v>
      </c>
      <c r="B20" s="98" t="s">
        <v>33</v>
      </c>
      <c r="C20" s="99"/>
      <c r="D20" s="107"/>
      <c r="E20" s="101" t="s">
        <v>34</v>
      </c>
      <c r="F20" s="106">
        <v>5</v>
      </c>
      <c r="G20" s="102">
        <v>9500000</v>
      </c>
      <c r="H20" s="103">
        <v>3500000</v>
      </c>
      <c r="I20" s="94">
        <f t="shared" ref="I20" si="6">+H20+G20</f>
        <v>13000000</v>
      </c>
      <c r="J20" s="95">
        <f t="shared" ref="J20" si="7">+I20*F20</f>
        <v>65000000</v>
      </c>
      <c r="K20" s="104"/>
    </row>
    <row r="21" spans="1:11">
      <c r="A21" s="88">
        <v>8</v>
      </c>
      <c r="B21" s="108" t="s">
        <v>35</v>
      </c>
      <c r="C21" s="99"/>
      <c r="D21" s="107"/>
      <c r="E21" s="101" t="s">
        <v>36</v>
      </c>
      <c r="F21" s="106">
        <v>2</v>
      </c>
      <c r="G21" s="102"/>
      <c r="H21" s="103"/>
      <c r="I21" s="94"/>
      <c r="J21" s="95"/>
      <c r="K21" s="104" t="s">
        <v>37</v>
      </c>
    </row>
    <row r="22" spans="1:11">
      <c r="A22" s="88">
        <v>9</v>
      </c>
      <c r="B22" s="108" t="s">
        <v>38</v>
      </c>
      <c r="C22" s="99"/>
      <c r="D22" s="109"/>
      <c r="E22" s="101" t="s">
        <v>36</v>
      </c>
      <c r="F22" s="106">
        <v>2</v>
      </c>
      <c r="G22" s="102"/>
      <c r="H22" s="103"/>
      <c r="I22" s="94"/>
      <c r="J22" s="95"/>
      <c r="K22" s="104" t="s">
        <v>37</v>
      </c>
    </row>
    <row r="23" s="54" customFormat="1" spans="1:11">
      <c r="A23" s="110">
        <v>10</v>
      </c>
      <c r="B23" s="111" t="s">
        <v>39</v>
      </c>
      <c r="C23" s="112"/>
      <c r="D23" s="113"/>
      <c r="E23" s="110" t="s">
        <v>23</v>
      </c>
      <c r="F23" s="114">
        <v>65</v>
      </c>
      <c r="G23" s="115">
        <v>201500</v>
      </c>
      <c r="H23" s="103">
        <v>120000</v>
      </c>
      <c r="I23" s="94">
        <f t="shared" ref="I23" si="8">+H23+G23</f>
        <v>321500</v>
      </c>
      <c r="J23" s="116">
        <f t="shared" ref="J23" si="9">+I23*F23</f>
        <v>20897500</v>
      </c>
      <c r="K23" s="117"/>
    </row>
    <row r="24" spans="1:11">
      <c r="A24" s="88">
        <v>11</v>
      </c>
      <c r="B24" s="118" t="s">
        <v>40</v>
      </c>
      <c r="C24" s="90"/>
      <c r="D24" s="99" t="s">
        <v>41</v>
      </c>
      <c r="E24" s="119" t="s">
        <v>42</v>
      </c>
      <c r="F24" s="120">
        <v>6</v>
      </c>
      <c r="G24" s="93">
        <v>12740000</v>
      </c>
      <c r="H24" s="93">
        <v>2500000</v>
      </c>
      <c r="I24" s="94">
        <f t="shared" ref="I24:I25" si="10">+H24+G24</f>
        <v>15240000</v>
      </c>
      <c r="J24" s="95">
        <f t="shared" ref="J24:J25" si="11">+I24*F24</f>
        <v>91440000</v>
      </c>
      <c r="K24" s="119"/>
    </row>
    <row r="25" spans="1:11">
      <c r="A25" s="88">
        <v>12</v>
      </c>
      <c r="B25" s="121" t="s">
        <v>43</v>
      </c>
      <c r="C25" s="99"/>
      <c r="D25" s="99" t="s">
        <v>41</v>
      </c>
      <c r="E25" s="122" t="s">
        <v>42</v>
      </c>
      <c r="F25" s="123">
        <v>8</v>
      </c>
      <c r="G25" s="93">
        <v>12220000</v>
      </c>
      <c r="H25" s="93">
        <v>3000000</v>
      </c>
      <c r="I25" s="94">
        <f t="shared" si="10"/>
        <v>15220000</v>
      </c>
      <c r="J25" s="95">
        <f t="shared" si="11"/>
        <v>121760000</v>
      </c>
      <c r="K25" s="119"/>
    </row>
    <row r="26" s="54" customFormat="1" ht="46.5" spans="1:11">
      <c r="A26" s="110">
        <v>13</v>
      </c>
      <c r="B26" s="124" t="s">
        <v>44</v>
      </c>
      <c r="C26" s="112"/>
      <c r="D26" s="113"/>
      <c r="E26" s="110" t="s">
        <v>45</v>
      </c>
      <c r="F26" s="114">
        <v>1</v>
      </c>
      <c r="G26" s="115">
        <v>8779550</v>
      </c>
      <c r="H26" s="103">
        <v>5070000</v>
      </c>
      <c r="I26" s="94">
        <f t="shared" ref="I26" si="12">+H26+G26</f>
        <v>13849550</v>
      </c>
      <c r="J26" s="116">
        <f t="shared" ref="J26" si="13">+I26*F26</f>
        <v>13849550</v>
      </c>
      <c r="K26" s="117"/>
    </row>
    <row r="27" spans="1:11">
      <c r="A27" s="125" t="s">
        <v>46</v>
      </c>
      <c r="B27" s="126" t="s">
        <v>47</v>
      </c>
      <c r="C27" s="127"/>
      <c r="D27" s="127"/>
      <c r="E27" s="128"/>
      <c r="F27" s="127"/>
      <c r="G27" s="127"/>
      <c r="H27" s="127"/>
      <c r="I27" s="94"/>
      <c r="J27" s="95"/>
      <c r="K27" s="125"/>
    </row>
    <row r="28" ht="70" spans="1:11">
      <c r="A28" s="122">
        <v>1</v>
      </c>
      <c r="B28" s="129" t="s">
        <v>48</v>
      </c>
      <c r="C28" s="27"/>
      <c r="D28" s="99" t="s">
        <v>49</v>
      </c>
      <c r="E28" s="26" t="s">
        <v>30</v>
      </c>
      <c r="F28" s="99">
        <v>4</v>
      </c>
      <c r="G28" s="99">
        <v>211956521.73913</v>
      </c>
      <c r="H28" s="99">
        <v>15000000</v>
      </c>
      <c r="I28" s="94">
        <f t="shared" si="1"/>
        <v>226956521.73913</v>
      </c>
      <c r="J28" s="95">
        <f t="shared" si="3"/>
        <v>907826086.956522</v>
      </c>
      <c r="K28" s="122"/>
    </row>
    <row r="29" s="55" customFormat="1" spans="1:11">
      <c r="A29" s="130">
        <v>2</v>
      </c>
      <c r="B29" s="131" t="s">
        <v>50</v>
      </c>
      <c r="C29" s="132"/>
      <c r="D29" s="133" t="s">
        <v>51</v>
      </c>
      <c r="E29" s="134" t="s">
        <v>52</v>
      </c>
      <c r="F29" s="133">
        <v>4</v>
      </c>
      <c r="G29" s="135">
        <v>331500000</v>
      </c>
      <c r="H29" s="135">
        <v>5000000</v>
      </c>
      <c r="I29" s="136">
        <f t="shared" ref="I29" si="14">+H29+G29</f>
        <v>336500000</v>
      </c>
      <c r="J29" s="137">
        <f t="shared" ref="J29" si="15">+I29*F29</f>
        <v>1346000000</v>
      </c>
      <c r="K29" s="130"/>
    </row>
    <row r="30" s="56" customFormat="1" ht="56" spans="1:11">
      <c r="A30" s="201" t="s">
        <v>53</v>
      </c>
      <c r="B30" s="89" t="s">
        <v>54</v>
      </c>
      <c r="C30" s="90" t="s">
        <v>55</v>
      </c>
      <c r="D30" s="90"/>
      <c r="E30" s="138" t="s">
        <v>56</v>
      </c>
      <c r="F30" s="90">
        <v>2</v>
      </c>
      <c r="G30" s="90"/>
      <c r="H30" s="90"/>
      <c r="I30" s="94">
        <f t="shared" si="1"/>
        <v>0</v>
      </c>
      <c r="J30" s="95"/>
      <c r="K30" s="119"/>
    </row>
    <row r="31" s="56" customFormat="1" ht="84" spans="1:11">
      <c r="A31" s="201" t="s">
        <v>53</v>
      </c>
      <c r="B31" s="89" t="s">
        <v>57</v>
      </c>
      <c r="C31" s="90" t="s">
        <v>58</v>
      </c>
      <c r="D31" s="90"/>
      <c r="E31" s="138" t="s">
        <v>56</v>
      </c>
      <c r="F31" s="90">
        <v>1</v>
      </c>
      <c r="G31" s="90"/>
      <c r="H31" s="90"/>
      <c r="I31" s="94">
        <f t="shared" si="1"/>
        <v>0</v>
      </c>
      <c r="J31" s="95"/>
      <c r="K31" s="119"/>
    </row>
    <row r="32" s="56" customFormat="1" ht="248" spans="1:11">
      <c r="A32" s="119">
        <v>3</v>
      </c>
      <c r="B32" s="139" t="s">
        <v>59</v>
      </c>
      <c r="C32" s="202" t="s">
        <v>60</v>
      </c>
      <c r="D32" s="90"/>
      <c r="E32" s="138" t="s">
        <v>61</v>
      </c>
      <c r="F32" s="90">
        <v>4</v>
      </c>
      <c r="G32" s="115">
        <v>226200000</v>
      </c>
      <c r="H32" s="103">
        <v>25000000</v>
      </c>
      <c r="I32" s="94">
        <f t="shared" ref="I32" si="16">+H32+G32</f>
        <v>251200000</v>
      </c>
      <c r="J32" s="116">
        <f t="shared" ref="J32:J33" si="17">+I32*F32</f>
        <v>1004800000</v>
      </c>
      <c r="K32" s="119"/>
    </row>
    <row r="33" ht="28" spans="1:11">
      <c r="A33" s="119">
        <v>4</v>
      </c>
      <c r="B33" s="89" t="s">
        <v>62</v>
      </c>
      <c r="C33" s="90"/>
      <c r="D33" s="90" t="s">
        <v>63</v>
      </c>
      <c r="E33" s="138" t="s">
        <v>64</v>
      </c>
      <c r="F33" s="90">
        <v>4</v>
      </c>
      <c r="G33" s="115">
        <v>646100000</v>
      </c>
      <c r="H33" s="103">
        <v>10000000</v>
      </c>
      <c r="I33" s="94">
        <f t="shared" si="1"/>
        <v>656100000</v>
      </c>
      <c r="J33" s="116">
        <f t="shared" si="17"/>
        <v>2624400000</v>
      </c>
      <c r="K33" s="119"/>
    </row>
    <row r="34" s="57" customFormat="1" ht="14" spans="1:11">
      <c r="A34" s="119">
        <v>5</v>
      </c>
      <c r="B34" s="118" t="s">
        <v>65</v>
      </c>
      <c r="C34" s="90"/>
      <c r="D34" s="99" t="s">
        <v>49</v>
      </c>
      <c r="E34" s="119" t="s">
        <v>52</v>
      </c>
      <c r="F34" s="141">
        <v>1</v>
      </c>
      <c r="G34" s="115">
        <v>849476521.73913</v>
      </c>
      <c r="H34" s="103">
        <v>15000000</v>
      </c>
      <c r="I34" s="94">
        <f t="shared" si="1"/>
        <v>864476521.73913</v>
      </c>
      <c r="J34" s="116">
        <f t="shared" ref="J34" si="18">+I34*F34</f>
        <v>864476521.73913</v>
      </c>
      <c r="K34" s="142"/>
    </row>
    <row r="35" s="57" customFormat="1" ht="14" spans="1:11">
      <c r="A35" s="119">
        <v>6</v>
      </c>
      <c r="B35" s="118" t="s">
        <v>66</v>
      </c>
      <c r="C35" s="90"/>
      <c r="D35" s="99" t="s">
        <v>49</v>
      </c>
      <c r="E35" s="119" t="s">
        <v>52</v>
      </c>
      <c r="F35" s="141">
        <v>1</v>
      </c>
      <c r="G35" s="115">
        <v>820492173.913044</v>
      </c>
      <c r="H35" s="103">
        <v>15000000</v>
      </c>
      <c r="I35" s="94">
        <f t="shared" ref="I35:I36" si="19">+H35+G35</f>
        <v>835492173.913044</v>
      </c>
      <c r="J35" s="116">
        <f t="shared" ref="J35:J36" si="20">+I35*F35</f>
        <v>835492173.913044</v>
      </c>
      <c r="K35" s="142"/>
    </row>
    <row r="36" s="57" customFormat="1" ht="14" spans="1:11">
      <c r="A36" s="119">
        <v>7</v>
      </c>
      <c r="B36" s="118" t="s">
        <v>67</v>
      </c>
      <c r="C36" s="90"/>
      <c r="D36" s="99" t="s">
        <v>49</v>
      </c>
      <c r="E36" s="119" t="s">
        <v>52</v>
      </c>
      <c r="F36" s="141">
        <v>1</v>
      </c>
      <c r="G36" s="115">
        <v>820492173.913044</v>
      </c>
      <c r="H36" s="103">
        <v>15000000</v>
      </c>
      <c r="I36" s="94">
        <f t="shared" si="19"/>
        <v>835492173.913044</v>
      </c>
      <c r="J36" s="116">
        <f t="shared" si="20"/>
        <v>835492173.913044</v>
      </c>
      <c r="K36" s="142"/>
    </row>
    <row r="37" s="57" customFormat="1" ht="14" spans="1:11">
      <c r="A37" s="119">
        <v>8</v>
      </c>
      <c r="B37" s="118" t="s">
        <v>68</v>
      </c>
      <c r="C37" s="90"/>
      <c r="D37" s="99" t="s">
        <v>49</v>
      </c>
      <c r="E37" s="119" t="s">
        <v>52</v>
      </c>
      <c r="F37" s="141">
        <v>1</v>
      </c>
      <c r="G37" s="115">
        <v>1337643478.26087</v>
      </c>
      <c r="H37" s="103">
        <v>15000000</v>
      </c>
      <c r="I37" s="94">
        <f t="shared" ref="I37" si="21">+H37+G37</f>
        <v>1352643478.26087</v>
      </c>
      <c r="J37" s="116">
        <f t="shared" ref="J37" si="22">+I37*F37</f>
        <v>1352643478.26087</v>
      </c>
      <c r="K37" s="142"/>
    </row>
    <row r="38" s="58" customFormat="1" ht="28" spans="1:11">
      <c r="A38" s="119">
        <v>9</v>
      </c>
      <c r="B38" s="118" t="s">
        <v>69</v>
      </c>
      <c r="C38" s="90"/>
      <c r="D38" s="90" t="s">
        <v>22</v>
      </c>
      <c r="E38" s="119" t="s">
        <v>23</v>
      </c>
      <c r="F38" s="141">
        <f>18*4</f>
        <v>72</v>
      </c>
      <c r="G38" s="115">
        <v>452400</v>
      </c>
      <c r="H38" s="103">
        <v>50000</v>
      </c>
      <c r="I38" s="94">
        <f t="shared" ref="I38:I47" si="23">+H38+G38</f>
        <v>502400</v>
      </c>
      <c r="J38" s="116">
        <f t="shared" ref="J38:J47" si="24">+I38*F38</f>
        <v>36172800</v>
      </c>
      <c r="K38" s="119"/>
    </row>
    <row r="39" s="58" customFormat="1" ht="28" spans="1:11">
      <c r="A39" s="119">
        <v>10</v>
      </c>
      <c r="B39" s="118" t="s">
        <v>70</v>
      </c>
      <c r="C39" s="90"/>
      <c r="D39" s="90" t="s">
        <v>22</v>
      </c>
      <c r="E39" s="119" t="s">
        <v>23</v>
      </c>
      <c r="F39" s="141">
        <f>20*4*4</f>
        <v>320</v>
      </c>
      <c r="G39" s="115">
        <v>1493349</v>
      </c>
      <c r="H39" s="103">
        <v>55000</v>
      </c>
      <c r="I39" s="94">
        <f t="shared" si="23"/>
        <v>1548349</v>
      </c>
      <c r="J39" s="116">
        <f t="shared" si="24"/>
        <v>495471680</v>
      </c>
      <c r="K39" s="119"/>
    </row>
    <row r="40" spans="1:11">
      <c r="A40" s="119">
        <v>11</v>
      </c>
      <c r="B40" s="143" t="s">
        <v>71</v>
      </c>
      <c r="C40" s="144"/>
      <c r="D40" s="99" t="s">
        <v>41</v>
      </c>
      <c r="E40" s="122" t="s">
        <v>42</v>
      </c>
      <c r="F40" s="145">
        <v>4</v>
      </c>
      <c r="G40" s="115">
        <v>10140000</v>
      </c>
      <c r="H40" s="103">
        <v>2500000</v>
      </c>
      <c r="I40" s="94">
        <f t="shared" si="23"/>
        <v>12640000</v>
      </c>
      <c r="J40" s="116">
        <f t="shared" si="24"/>
        <v>50560000</v>
      </c>
      <c r="K40" s="119"/>
    </row>
    <row r="41" spans="1:11">
      <c r="A41" s="119">
        <v>12</v>
      </c>
      <c r="B41" s="143" t="s">
        <v>72</v>
      </c>
      <c r="C41" s="144"/>
      <c r="D41" s="99" t="s">
        <v>41</v>
      </c>
      <c r="E41" s="122" t="s">
        <v>42</v>
      </c>
      <c r="F41" s="145">
        <v>4</v>
      </c>
      <c r="G41" s="115">
        <v>5980000</v>
      </c>
      <c r="H41" s="103">
        <v>2500000</v>
      </c>
      <c r="I41" s="94">
        <f t="shared" ref="I41" si="25">+H41+G41</f>
        <v>8480000</v>
      </c>
      <c r="J41" s="116">
        <f t="shared" ref="J41" si="26">+I41*F41</f>
        <v>33920000</v>
      </c>
      <c r="K41" s="119"/>
    </row>
    <row r="42" spans="1:11">
      <c r="A42" s="119">
        <v>13</v>
      </c>
      <c r="B42" s="118" t="s">
        <v>73</v>
      </c>
      <c r="C42" s="90"/>
      <c r="D42" s="90"/>
      <c r="E42" s="119" t="s">
        <v>30</v>
      </c>
      <c r="F42" s="141">
        <f>20*2*4</f>
        <v>160</v>
      </c>
      <c r="G42" s="115">
        <v>252000</v>
      </c>
      <c r="H42" s="103">
        <v>45000</v>
      </c>
      <c r="I42" s="94">
        <f t="shared" si="23"/>
        <v>297000</v>
      </c>
      <c r="J42" s="116">
        <f t="shared" si="24"/>
        <v>47520000</v>
      </c>
      <c r="K42" s="119"/>
    </row>
    <row r="43" spans="1:11">
      <c r="A43" s="119">
        <v>14</v>
      </c>
      <c r="B43" s="89" t="s">
        <v>74</v>
      </c>
      <c r="C43" s="127"/>
      <c r="D43" s="127"/>
      <c r="E43" s="138" t="s">
        <v>75</v>
      </c>
      <c r="F43" s="90">
        <v>4</v>
      </c>
      <c r="G43" s="115">
        <v>55000000</v>
      </c>
      <c r="H43" s="103">
        <v>20000000</v>
      </c>
      <c r="I43" s="94">
        <f t="shared" si="23"/>
        <v>75000000</v>
      </c>
      <c r="J43" s="116">
        <f t="shared" si="24"/>
        <v>300000000</v>
      </c>
      <c r="K43" s="125"/>
    </row>
    <row r="44" spans="1:11">
      <c r="A44" s="119">
        <v>15</v>
      </c>
      <c r="B44" s="118" t="s">
        <v>76</v>
      </c>
      <c r="C44" s="90"/>
      <c r="D44" s="90"/>
      <c r="E44" s="141" t="s">
        <v>77</v>
      </c>
      <c r="F44" s="119">
        <v>4</v>
      </c>
      <c r="G44" s="115">
        <v>56158698.5</v>
      </c>
      <c r="H44" s="103">
        <v>8500350</v>
      </c>
      <c r="I44" s="94">
        <f t="shared" si="23"/>
        <v>64659048.5</v>
      </c>
      <c r="J44" s="116">
        <f t="shared" si="24"/>
        <v>258636194</v>
      </c>
      <c r="K44" s="119"/>
    </row>
    <row r="45" spans="1:11">
      <c r="A45" s="119">
        <v>16</v>
      </c>
      <c r="B45" s="118" t="s">
        <v>78</v>
      </c>
      <c r="C45" s="90"/>
      <c r="D45" s="90"/>
      <c r="E45" s="141" t="s">
        <v>30</v>
      </c>
      <c r="F45" s="119">
        <v>4</v>
      </c>
      <c r="G45" s="115">
        <v>600000</v>
      </c>
      <c r="H45" s="103">
        <v>50000</v>
      </c>
      <c r="I45" s="94">
        <f t="shared" si="23"/>
        <v>650000</v>
      </c>
      <c r="J45" s="116">
        <f t="shared" si="24"/>
        <v>2600000</v>
      </c>
      <c r="K45" s="119"/>
    </row>
    <row r="46" spans="1:11">
      <c r="A46" s="119">
        <v>17</v>
      </c>
      <c r="B46" s="118" t="s">
        <v>79</v>
      </c>
      <c r="C46" s="90"/>
      <c r="D46" s="90"/>
      <c r="E46" s="141" t="s">
        <v>30</v>
      </c>
      <c r="F46" s="119">
        <v>16</v>
      </c>
      <c r="G46" s="115">
        <v>350000</v>
      </c>
      <c r="H46" s="103">
        <v>35000</v>
      </c>
      <c r="I46" s="94">
        <f t="shared" si="23"/>
        <v>385000</v>
      </c>
      <c r="J46" s="116">
        <f t="shared" si="24"/>
        <v>6160000</v>
      </c>
      <c r="K46" s="119"/>
    </row>
    <row r="47" spans="1:11">
      <c r="A47" s="119">
        <v>18</v>
      </c>
      <c r="B47" s="118" t="s">
        <v>80</v>
      </c>
      <c r="C47" s="90"/>
      <c r="D47" s="90"/>
      <c r="E47" s="141" t="s">
        <v>30</v>
      </c>
      <c r="F47" s="119">
        <v>24</v>
      </c>
      <c r="G47" s="115">
        <v>50000</v>
      </c>
      <c r="H47" s="103">
        <v>15000</v>
      </c>
      <c r="I47" s="94">
        <f t="shared" si="23"/>
        <v>65000</v>
      </c>
      <c r="J47" s="116">
        <f t="shared" si="24"/>
        <v>1560000</v>
      </c>
      <c r="K47" s="119"/>
    </row>
    <row r="48" ht="28" spans="1:11">
      <c r="A48" s="125" t="s">
        <v>81</v>
      </c>
      <c r="B48" s="126" t="s">
        <v>82</v>
      </c>
      <c r="C48" s="127"/>
      <c r="D48" s="127"/>
      <c r="E48" s="128"/>
      <c r="F48" s="127"/>
      <c r="G48" s="115"/>
      <c r="H48" s="103"/>
      <c r="I48" s="94"/>
      <c r="J48" s="116"/>
      <c r="K48" s="125"/>
    </row>
    <row r="49" spans="1:11">
      <c r="A49" s="146">
        <v>1</v>
      </c>
      <c r="B49" s="147" t="s">
        <v>83</v>
      </c>
      <c r="C49" s="146"/>
      <c r="D49" s="148"/>
      <c r="E49" s="146" t="s">
        <v>77</v>
      </c>
      <c r="F49" s="149">
        <v>4</v>
      </c>
      <c r="G49" s="115"/>
      <c r="H49" s="103"/>
      <c r="I49" s="94">
        <v>45000000</v>
      </c>
      <c r="J49" s="116">
        <f>+I49*F49</f>
        <v>180000000</v>
      </c>
      <c r="K49" s="150"/>
    </row>
    <row r="50" spans="1:11">
      <c r="A50" s="146">
        <v>2</v>
      </c>
      <c r="B50" s="147" t="s">
        <v>84</v>
      </c>
      <c r="C50" s="146"/>
      <c r="D50" s="148"/>
      <c r="E50" s="146" t="s">
        <v>85</v>
      </c>
      <c r="F50" s="149">
        <v>1</v>
      </c>
      <c r="G50" s="115"/>
      <c r="H50" s="103"/>
      <c r="I50" s="94">
        <v>90000000</v>
      </c>
      <c r="J50" s="116">
        <f t="shared" ref="J50:J113" si="27">+I50*F50</f>
        <v>90000000</v>
      </c>
      <c r="K50" s="150"/>
    </row>
    <row r="51" spans="1:11">
      <c r="A51" s="146">
        <v>3</v>
      </c>
      <c r="B51" s="147" t="s">
        <v>86</v>
      </c>
      <c r="C51" s="146"/>
      <c r="D51" s="148"/>
      <c r="E51" s="146" t="s">
        <v>85</v>
      </c>
      <c r="F51" s="149">
        <v>1</v>
      </c>
      <c r="G51" s="115"/>
      <c r="H51" s="103"/>
      <c r="I51" s="94">
        <v>30000000</v>
      </c>
      <c r="J51" s="116">
        <f t="shared" si="27"/>
        <v>30000000</v>
      </c>
      <c r="K51" s="150"/>
    </row>
    <row r="52" spans="1:11">
      <c r="A52" s="146">
        <v>4</v>
      </c>
      <c r="B52" s="147" t="s">
        <v>87</v>
      </c>
      <c r="C52" s="146"/>
      <c r="D52" s="148"/>
      <c r="E52" s="146" t="s">
        <v>85</v>
      </c>
      <c r="F52" s="149">
        <v>1</v>
      </c>
      <c r="G52" s="115"/>
      <c r="H52" s="103"/>
      <c r="I52" s="94">
        <v>85000000</v>
      </c>
      <c r="J52" s="116">
        <f t="shared" si="27"/>
        <v>85000000</v>
      </c>
      <c r="K52" s="150"/>
    </row>
    <row r="53" spans="1:11">
      <c r="A53" s="146">
        <v>5</v>
      </c>
      <c r="B53" s="147" t="s">
        <v>88</v>
      </c>
      <c r="C53" s="146"/>
      <c r="D53" s="148"/>
      <c r="E53" s="146" t="s">
        <v>77</v>
      </c>
      <c r="F53" s="149">
        <v>4</v>
      </c>
      <c r="G53" s="115"/>
      <c r="H53" s="103"/>
      <c r="I53" s="94">
        <v>130000000</v>
      </c>
      <c r="J53" s="116">
        <f t="shared" si="27"/>
        <v>520000000</v>
      </c>
      <c r="K53" s="150"/>
    </row>
    <row r="54" spans="1:11">
      <c r="A54" s="146">
        <v>6</v>
      </c>
      <c r="B54" s="147" t="s">
        <v>89</v>
      </c>
      <c r="C54" s="146"/>
      <c r="D54" s="148"/>
      <c r="E54" s="146" t="s">
        <v>77</v>
      </c>
      <c r="F54" s="149">
        <v>4</v>
      </c>
      <c r="G54" s="115"/>
      <c r="H54" s="103"/>
      <c r="I54" s="94">
        <v>10000000</v>
      </c>
      <c r="J54" s="116">
        <f t="shared" si="27"/>
        <v>40000000</v>
      </c>
      <c r="K54" s="150"/>
    </row>
    <row r="55" ht="28" spans="1:11">
      <c r="A55" s="146">
        <v>7</v>
      </c>
      <c r="B55" s="147" t="s">
        <v>90</v>
      </c>
      <c r="C55" s="146"/>
      <c r="D55" s="148"/>
      <c r="E55" s="146" t="s">
        <v>42</v>
      </c>
      <c r="F55" s="149">
        <v>4</v>
      </c>
      <c r="G55" s="115"/>
      <c r="H55" s="103"/>
      <c r="I55" s="94">
        <v>25000000</v>
      </c>
      <c r="J55" s="116">
        <f t="shared" si="27"/>
        <v>100000000</v>
      </c>
      <c r="K55" s="150"/>
    </row>
    <row r="56" spans="1:11">
      <c r="A56" s="151" t="s">
        <v>91</v>
      </c>
      <c r="B56" s="152" t="s">
        <v>92</v>
      </c>
      <c r="C56" s="151"/>
      <c r="D56" s="153">
        <v>0</v>
      </c>
      <c r="E56" s="154"/>
      <c r="F56" s="155"/>
      <c r="G56" s="156"/>
      <c r="H56" s="157"/>
      <c r="I56" s="158"/>
      <c r="J56" s="159"/>
      <c r="K56" s="160"/>
    </row>
    <row r="57" spans="1:11">
      <c r="A57" s="161"/>
      <c r="B57" s="162" t="s">
        <v>93</v>
      </c>
      <c r="C57" s="161"/>
      <c r="D57" s="163">
        <v>0</v>
      </c>
      <c r="E57" s="164"/>
      <c r="F57" s="146"/>
      <c r="G57" s="115"/>
      <c r="H57" s="103"/>
      <c r="I57" s="94"/>
      <c r="J57" s="116"/>
      <c r="K57" s="150"/>
    </row>
    <row r="58" spans="1:11">
      <c r="A58" s="165">
        <v>1</v>
      </c>
      <c r="B58" s="166" t="s">
        <v>94</v>
      </c>
      <c r="C58" s="165"/>
      <c r="D58" s="167"/>
      <c r="E58" s="165" t="s">
        <v>95</v>
      </c>
      <c r="F58" s="168">
        <f>837*0.75*0.35</f>
        <v>219.7125</v>
      </c>
      <c r="G58" s="115">
        <v>0</v>
      </c>
      <c r="H58" s="103">
        <v>40520</v>
      </c>
      <c r="I58" s="94">
        <f t="shared" ref="I58:I85" si="28">+G58+H58</f>
        <v>40520</v>
      </c>
      <c r="J58" s="116">
        <f t="shared" si="27"/>
        <v>8902750.5</v>
      </c>
      <c r="K58" s="150"/>
    </row>
    <row r="59" spans="1:11">
      <c r="A59" s="165">
        <v>2</v>
      </c>
      <c r="B59" s="166" t="s">
        <v>96</v>
      </c>
      <c r="C59" s="165"/>
      <c r="D59" s="167"/>
      <c r="E59" s="165" t="s">
        <v>97</v>
      </c>
      <c r="F59" s="168">
        <f>837*0.66*0.15/100</f>
        <v>0.82863</v>
      </c>
      <c r="G59" s="115">
        <v>45500000</v>
      </c>
      <c r="H59" s="103">
        <v>4478508</v>
      </c>
      <c r="I59" s="94">
        <f t="shared" si="28"/>
        <v>49978508</v>
      </c>
      <c r="J59" s="116">
        <f t="shared" si="27"/>
        <v>41413691.08404</v>
      </c>
      <c r="K59" s="150"/>
    </row>
    <row r="60" spans="1:11">
      <c r="A60" s="165">
        <v>3</v>
      </c>
      <c r="B60" s="166" t="s">
        <v>98</v>
      </c>
      <c r="C60" s="165"/>
      <c r="D60" s="167"/>
      <c r="E60" s="165" t="s">
        <v>97</v>
      </c>
      <c r="F60" s="168">
        <f>837*0.816*0.2/100</f>
        <v>1.365984</v>
      </c>
      <c r="G60" s="115"/>
      <c r="H60" s="103">
        <v>4278500</v>
      </c>
      <c r="I60" s="94">
        <f t="shared" si="28"/>
        <v>4278500</v>
      </c>
      <c r="J60" s="116">
        <f t="shared" si="27"/>
        <v>5844362.544</v>
      </c>
      <c r="K60" s="150"/>
    </row>
    <row r="61" spans="1:11">
      <c r="A61" s="165">
        <v>4</v>
      </c>
      <c r="B61" s="166" t="s">
        <v>99</v>
      </c>
      <c r="C61" s="165"/>
      <c r="D61" s="167"/>
      <c r="E61" s="165" t="s">
        <v>97</v>
      </c>
      <c r="F61" s="168">
        <f>+F58/100-F60</f>
        <v>0.831141</v>
      </c>
      <c r="G61" s="115">
        <v>0</v>
      </c>
      <c r="H61" s="103">
        <v>4241169</v>
      </c>
      <c r="I61" s="94">
        <f t="shared" si="28"/>
        <v>4241169</v>
      </c>
      <c r="J61" s="116">
        <f t="shared" si="27"/>
        <v>3525009.443829</v>
      </c>
      <c r="K61" s="150"/>
    </row>
    <row r="62" spans="1:11">
      <c r="A62" s="165">
        <v>5</v>
      </c>
      <c r="B62" s="166" t="s">
        <v>100</v>
      </c>
      <c r="C62" s="165"/>
      <c r="D62" s="167"/>
      <c r="E62" s="165" t="s">
        <v>101</v>
      </c>
      <c r="F62" s="168">
        <v>837</v>
      </c>
      <c r="G62" s="115">
        <v>2500</v>
      </c>
      <c r="H62" s="103">
        <v>1164</v>
      </c>
      <c r="I62" s="94">
        <f t="shared" si="28"/>
        <v>3664</v>
      </c>
      <c r="J62" s="116">
        <f t="shared" si="27"/>
        <v>3066768</v>
      </c>
      <c r="K62" s="150"/>
    </row>
    <row r="63" spans="1:11">
      <c r="A63" s="161"/>
      <c r="B63" s="162" t="s">
        <v>102</v>
      </c>
      <c r="C63" s="161"/>
      <c r="D63" s="163"/>
      <c r="E63" s="161"/>
      <c r="F63" s="169">
        <v>0</v>
      </c>
      <c r="G63" s="115"/>
      <c r="H63" s="103"/>
      <c r="I63" s="94"/>
      <c r="J63" s="116"/>
      <c r="K63" s="150"/>
    </row>
    <row r="64" spans="1:11">
      <c r="A64" s="165">
        <v>6</v>
      </c>
      <c r="B64" s="166" t="s">
        <v>94</v>
      </c>
      <c r="C64" s="165"/>
      <c r="D64" s="167"/>
      <c r="E64" s="165" t="s">
        <v>95</v>
      </c>
      <c r="F64" s="168">
        <f>68*0.75*0.35</f>
        <v>17.85</v>
      </c>
      <c r="G64" s="115">
        <v>0</v>
      </c>
      <c r="H64" s="103">
        <v>40520</v>
      </c>
      <c r="I64" s="94">
        <f t="shared" si="28"/>
        <v>40520</v>
      </c>
      <c r="J64" s="116">
        <f t="shared" si="27"/>
        <v>723282</v>
      </c>
      <c r="K64" s="150"/>
    </row>
    <row r="65" spans="1:11">
      <c r="A65" s="165">
        <v>7</v>
      </c>
      <c r="B65" s="166" t="s">
        <v>96</v>
      </c>
      <c r="C65" s="165"/>
      <c r="D65" s="167"/>
      <c r="E65" s="165" t="s">
        <v>97</v>
      </c>
      <c r="F65" s="168">
        <f>68*0.66*0.15/100</f>
        <v>0.06732</v>
      </c>
      <c r="G65" s="115">
        <v>45500000</v>
      </c>
      <c r="H65" s="103">
        <v>4478508</v>
      </c>
      <c r="I65" s="94">
        <f t="shared" si="28"/>
        <v>49978508</v>
      </c>
      <c r="J65" s="116">
        <f t="shared" si="27"/>
        <v>3364553.15856</v>
      </c>
      <c r="K65" s="150"/>
    </row>
    <row r="66" spans="1:11">
      <c r="A66" s="165">
        <v>8</v>
      </c>
      <c r="B66" s="166" t="s">
        <v>98</v>
      </c>
      <c r="C66" s="165"/>
      <c r="D66" s="167"/>
      <c r="E66" s="165" t="s">
        <v>97</v>
      </c>
      <c r="F66" s="168">
        <f>68*0.816*0.2/100</f>
        <v>0.110976</v>
      </c>
      <c r="G66" s="115"/>
      <c r="H66" s="103">
        <v>4278500</v>
      </c>
      <c r="I66" s="94">
        <f t="shared" si="28"/>
        <v>4278500</v>
      </c>
      <c r="J66" s="116">
        <f t="shared" si="27"/>
        <v>474810.816</v>
      </c>
      <c r="K66" s="150"/>
    </row>
    <row r="67" spans="1:11">
      <c r="A67" s="165">
        <v>9</v>
      </c>
      <c r="B67" s="166" t="s">
        <v>99</v>
      </c>
      <c r="C67" s="165"/>
      <c r="D67" s="167"/>
      <c r="E67" s="165" t="s">
        <v>97</v>
      </c>
      <c r="F67" s="168">
        <f>+F64/100-F66</f>
        <v>0.067524</v>
      </c>
      <c r="G67" s="115">
        <v>0</v>
      </c>
      <c r="H67" s="103">
        <v>4241169</v>
      </c>
      <c r="I67" s="94">
        <f t="shared" si="28"/>
        <v>4241169</v>
      </c>
      <c r="J67" s="116">
        <f t="shared" si="27"/>
        <v>286380.695556</v>
      </c>
      <c r="K67" s="150"/>
    </row>
    <row r="68" spans="1:11">
      <c r="A68" s="165">
        <v>10</v>
      </c>
      <c r="B68" s="166" t="s">
        <v>100</v>
      </c>
      <c r="C68" s="165"/>
      <c r="D68" s="167"/>
      <c r="E68" s="165" t="s">
        <v>101</v>
      </c>
      <c r="F68" s="168">
        <v>68</v>
      </c>
      <c r="G68" s="115">
        <v>14939</v>
      </c>
      <c r="H68" s="103">
        <v>1455</v>
      </c>
      <c r="I68" s="94">
        <f t="shared" si="28"/>
        <v>16394</v>
      </c>
      <c r="J68" s="116">
        <f t="shared" si="27"/>
        <v>1114792</v>
      </c>
      <c r="K68" s="150"/>
    </row>
    <row r="69" spans="1:11">
      <c r="A69" s="161"/>
      <c r="B69" s="162" t="s">
        <v>103</v>
      </c>
      <c r="C69" s="161"/>
      <c r="D69" s="163"/>
      <c r="E69" s="161"/>
      <c r="F69" s="169">
        <v>0</v>
      </c>
      <c r="G69" s="115"/>
      <c r="H69" s="103"/>
      <c r="I69" s="94"/>
      <c r="J69" s="116"/>
      <c r="K69" s="150"/>
    </row>
    <row r="70" spans="1:11">
      <c r="A70" s="165">
        <v>11</v>
      </c>
      <c r="B70" s="166" t="s">
        <v>104</v>
      </c>
      <c r="C70" s="165"/>
      <c r="D70" s="167"/>
      <c r="E70" s="165" t="s">
        <v>95</v>
      </c>
      <c r="F70" s="168">
        <f>0.333333333333333*1.1*(1.4*1.4+SQRT(1.4*1.4*1.8*1.8)+1.8*1.8)*29+(0.8*0.4)*29</f>
        <v>91.3693333333333</v>
      </c>
      <c r="G70" s="115">
        <v>0</v>
      </c>
      <c r="H70" s="103">
        <v>40520</v>
      </c>
      <c r="I70" s="94">
        <f t="shared" si="28"/>
        <v>40520</v>
      </c>
      <c r="J70" s="116">
        <f t="shared" si="27"/>
        <v>3702285.38666667</v>
      </c>
      <c r="K70" s="150"/>
    </row>
    <row r="71" spans="1:11">
      <c r="A71" s="165">
        <v>12</v>
      </c>
      <c r="B71" s="166" t="s">
        <v>105</v>
      </c>
      <c r="C71" s="165"/>
      <c r="D71" s="167"/>
      <c r="E71" s="165" t="s">
        <v>97</v>
      </c>
      <c r="F71" s="168">
        <f>((0.333333333333333*1.1*(1.4*1.4+SQRT(1.4*1.4*1.8*1.8)+1.8*1.8)*29+(0.8*0.4)*29)-21.46)/100</f>
        <v>0.699093333333332</v>
      </c>
      <c r="G71" s="115">
        <v>0</v>
      </c>
      <c r="H71" s="103">
        <v>4241169</v>
      </c>
      <c r="I71" s="94">
        <f t="shared" si="28"/>
        <v>4241169</v>
      </c>
      <c r="J71" s="116">
        <f t="shared" si="27"/>
        <v>2964972.97343999</v>
      </c>
      <c r="K71" s="150"/>
    </row>
    <row r="72" spans="1:11">
      <c r="A72" s="165">
        <v>13</v>
      </c>
      <c r="B72" s="166" t="s">
        <v>99</v>
      </c>
      <c r="C72" s="165"/>
      <c r="D72" s="167"/>
      <c r="E72" s="165" t="s">
        <v>97</v>
      </c>
      <c r="F72" s="168">
        <f>+F70/100-F71</f>
        <v>0.2146</v>
      </c>
      <c r="G72" s="115">
        <v>0</v>
      </c>
      <c r="H72" s="103">
        <v>4241169</v>
      </c>
      <c r="I72" s="94">
        <f t="shared" si="28"/>
        <v>4241169</v>
      </c>
      <c r="J72" s="116">
        <f t="shared" si="27"/>
        <v>910154.8674</v>
      </c>
      <c r="K72" s="150"/>
    </row>
    <row r="73" spans="1:11">
      <c r="A73" s="165">
        <v>14</v>
      </c>
      <c r="B73" s="166" t="s">
        <v>106</v>
      </c>
      <c r="C73" s="165"/>
      <c r="D73" s="167"/>
      <c r="E73" s="165" t="s">
        <v>107</v>
      </c>
      <c r="F73" s="168">
        <f>+(1*4*0.1+0.8*4*1)*29/100</f>
        <v>1.044</v>
      </c>
      <c r="G73" s="115">
        <v>18552400.4683841</v>
      </c>
      <c r="H73" s="103">
        <v>16900000</v>
      </c>
      <c r="I73" s="94">
        <f t="shared" si="28"/>
        <v>35452400.4683841</v>
      </c>
      <c r="J73" s="116">
        <f t="shared" si="27"/>
        <v>37012306.088993</v>
      </c>
      <c r="K73" s="150"/>
    </row>
    <row r="74" ht="31" spans="1:11">
      <c r="A74" s="165">
        <v>15</v>
      </c>
      <c r="B74" s="166" t="s">
        <v>108</v>
      </c>
      <c r="C74" s="165"/>
      <c r="D74" s="167"/>
      <c r="E74" s="165" t="s">
        <v>95</v>
      </c>
      <c r="F74" s="168">
        <f>1*1*0.1*29</f>
        <v>2.9</v>
      </c>
      <c r="G74" s="115">
        <v>1781000</v>
      </c>
      <c r="H74" s="103">
        <v>480000</v>
      </c>
      <c r="I74" s="94">
        <f t="shared" si="28"/>
        <v>2261000</v>
      </c>
      <c r="J74" s="116">
        <f t="shared" si="27"/>
        <v>6556900</v>
      </c>
      <c r="K74" s="150"/>
    </row>
    <row r="75" ht="31" spans="1:11">
      <c r="A75" s="165">
        <v>16</v>
      </c>
      <c r="B75" s="166" t="s">
        <v>109</v>
      </c>
      <c r="C75" s="165"/>
      <c r="D75" s="167"/>
      <c r="E75" s="165" t="s">
        <v>95</v>
      </c>
      <c r="F75" s="168">
        <f>0.8*0.8*1*29</f>
        <v>18.56</v>
      </c>
      <c r="G75" s="115">
        <v>2041000</v>
      </c>
      <c r="H75" s="103">
        <v>480000</v>
      </c>
      <c r="I75" s="94">
        <f t="shared" si="28"/>
        <v>2521000</v>
      </c>
      <c r="J75" s="116">
        <f t="shared" si="27"/>
        <v>46789760</v>
      </c>
      <c r="K75" s="150"/>
    </row>
    <row r="76" spans="1:11">
      <c r="A76" s="165">
        <v>17</v>
      </c>
      <c r="B76" s="166" t="s">
        <v>110</v>
      </c>
      <c r="C76" s="165"/>
      <c r="D76" s="167"/>
      <c r="E76" s="165" t="s">
        <v>111</v>
      </c>
      <c r="F76" s="168">
        <v>29</v>
      </c>
      <c r="G76" s="115">
        <v>539110</v>
      </c>
      <c r="H76" s="103">
        <v>85000</v>
      </c>
      <c r="I76" s="94">
        <f t="shared" si="28"/>
        <v>624110</v>
      </c>
      <c r="J76" s="116">
        <f t="shared" si="27"/>
        <v>18099190</v>
      </c>
      <c r="K76" s="150"/>
    </row>
    <row r="77" spans="1:11">
      <c r="A77" s="165">
        <v>18</v>
      </c>
      <c r="B77" s="166" t="s">
        <v>112</v>
      </c>
      <c r="C77" s="165"/>
      <c r="D77" s="167"/>
      <c r="E77" s="165" t="s">
        <v>23</v>
      </c>
      <c r="F77" s="168">
        <f>2.5*29</f>
        <v>72.5</v>
      </c>
      <c r="G77" s="115">
        <v>36052.8</v>
      </c>
      <c r="H77" s="103">
        <v>10000</v>
      </c>
      <c r="I77" s="94">
        <f t="shared" si="28"/>
        <v>46052.8</v>
      </c>
      <c r="J77" s="116">
        <f t="shared" si="27"/>
        <v>3338828</v>
      </c>
      <c r="K77" s="150"/>
    </row>
    <row r="78" spans="1:11">
      <c r="A78" s="165">
        <v>19</v>
      </c>
      <c r="B78" s="166" t="s">
        <v>113</v>
      </c>
      <c r="C78" s="165"/>
      <c r="D78" s="167"/>
      <c r="E78" s="165" t="s">
        <v>30</v>
      </c>
      <c r="F78" s="168">
        <v>29</v>
      </c>
      <c r="G78" s="115">
        <v>25000</v>
      </c>
      <c r="H78" s="103">
        <v>8000</v>
      </c>
      <c r="I78" s="94">
        <f t="shared" si="28"/>
        <v>33000</v>
      </c>
      <c r="J78" s="116">
        <f t="shared" si="27"/>
        <v>957000</v>
      </c>
      <c r="K78" s="150"/>
    </row>
    <row r="79" spans="1:11">
      <c r="A79" s="165">
        <v>20</v>
      </c>
      <c r="B79" s="166" t="s">
        <v>114</v>
      </c>
      <c r="C79" s="165"/>
      <c r="D79" s="167" t="s">
        <v>29</v>
      </c>
      <c r="E79" s="165" t="s">
        <v>115</v>
      </c>
      <c r="F79" s="168">
        <v>29</v>
      </c>
      <c r="G79" s="115">
        <v>624000</v>
      </c>
      <c r="H79" s="103">
        <v>250000</v>
      </c>
      <c r="I79" s="94">
        <f t="shared" si="28"/>
        <v>874000</v>
      </c>
      <c r="J79" s="116">
        <f t="shared" si="27"/>
        <v>25346000</v>
      </c>
      <c r="K79" s="150"/>
    </row>
    <row r="80" ht="31" spans="1:11">
      <c r="A80" s="165">
        <v>21</v>
      </c>
      <c r="B80" s="166" t="s">
        <v>116</v>
      </c>
      <c r="C80" s="165"/>
      <c r="D80" s="167" t="s">
        <v>117</v>
      </c>
      <c r="E80" s="165" t="s">
        <v>115</v>
      </c>
      <c r="F80" s="168">
        <v>29</v>
      </c>
      <c r="G80" s="115">
        <v>4160000</v>
      </c>
      <c r="H80" s="103">
        <v>1267353</v>
      </c>
      <c r="I80" s="94">
        <f t="shared" si="28"/>
        <v>5427353</v>
      </c>
      <c r="J80" s="116">
        <f t="shared" si="27"/>
        <v>157393237</v>
      </c>
      <c r="K80" s="150"/>
    </row>
    <row r="81" spans="1:11">
      <c r="A81" s="165">
        <v>22</v>
      </c>
      <c r="B81" s="166" t="s">
        <v>118</v>
      </c>
      <c r="C81" s="165"/>
      <c r="D81" s="167" t="s">
        <v>117</v>
      </c>
      <c r="E81" s="165" t="s">
        <v>119</v>
      </c>
      <c r="F81" s="168">
        <v>29</v>
      </c>
      <c r="G81" s="115">
        <v>1326960</v>
      </c>
      <c r="H81" s="103">
        <v>246477</v>
      </c>
      <c r="I81" s="94">
        <f t="shared" si="28"/>
        <v>1573437</v>
      </c>
      <c r="J81" s="116">
        <f t="shared" si="27"/>
        <v>45629673</v>
      </c>
      <c r="K81" s="150"/>
    </row>
    <row r="82" ht="31" spans="1:11">
      <c r="A82" s="165">
        <v>23</v>
      </c>
      <c r="B82" s="166" t="s">
        <v>120</v>
      </c>
      <c r="C82" s="165"/>
      <c r="D82" s="167" t="s">
        <v>117</v>
      </c>
      <c r="E82" s="165" t="s">
        <v>115</v>
      </c>
      <c r="F82" s="168">
        <v>17</v>
      </c>
      <c r="G82" s="115">
        <v>2210000</v>
      </c>
      <c r="H82" s="103">
        <v>450000</v>
      </c>
      <c r="I82" s="94">
        <f t="shared" si="28"/>
        <v>2660000</v>
      </c>
      <c r="J82" s="116">
        <f t="shared" si="27"/>
        <v>45220000</v>
      </c>
      <c r="K82" s="150"/>
    </row>
    <row r="83" spans="1:11">
      <c r="A83" s="165">
        <v>24</v>
      </c>
      <c r="B83" s="166" t="s">
        <v>121</v>
      </c>
      <c r="C83" s="165"/>
      <c r="D83" s="167" t="s">
        <v>22</v>
      </c>
      <c r="E83" s="165" t="s">
        <v>23</v>
      </c>
      <c r="F83" s="168">
        <f>29*11</f>
        <v>319</v>
      </c>
      <c r="G83" s="115">
        <v>27762.8</v>
      </c>
      <c r="H83" s="103">
        <v>12000</v>
      </c>
      <c r="I83" s="94">
        <f t="shared" si="28"/>
        <v>39762.8</v>
      </c>
      <c r="J83" s="116">
        <f t="shared" si="27"/>
        <v>12684333.2</v>
      </c>
      <c r="K83" s="150"/>
    </row>
    <row r="84" spans="1:11">
      <c r="A84" s="165">
        <v>25</v>
      </c>
      <c r="B84" s="166" t="s">
        <v>122</v>
      </c>
      <c r="C84" s="165"/>
      <c r="D84" s="167" t="s">
        <v>123</v>
      </c>
      <c r="E84" s="165" t="s">
        <v>23</v>
      </c>
      <c r="F84" s="168">
        <f>29*11</f>
        <v>319</v>
      </c>
      <c r="G84" s="115">
        <v>6500</v>
      </c>
      <c r="H84" s="103">
        <v>5000</v>
      </c>
      <c r="I84" s="94">
        <f t="shared" si="28"/>
        <v>11500</v>
      </c>
      <c r="J84" s="116">
        <f t="shared" si="27"/>
        <v>3668500</v>
      </c>
      <c r="K84" s="150"/>
    </row>
    <row r="85" ht="31" spans="1:11">
      <c r="A85" s="165">
        <v>26</v>
      </c>
      <c r="B85" s="166" t="s">
        <v>124</v>
      </c>
      <c r="C85" s="165"/>
      <c r="D85" s="167"/>
      <c r="E85" s="165" t="s">
        <v>115</v>
      </c>
      <c r="F85" s="168">
        <v>29</v>
      </c>
      <c r="G85" s="115">
        <v>325000</v>
      </c>
      <c r="H85" s="103">
        <v>85000</v>
      </c>
      <c r="I85" s="94">
        <f t="shared" si="28"/>
        <v>410000</v>
      </c>
      <c r="J85" s="116">
        <f t="shared" si="27"/>
        <v>11890000</v>
      </c>
      <c r="K85" s="150"/>
    </row>
    <row r="86" spans="1:11">
      <c r="A86" s="161"/>
      <c r="B86" s="162" t="s">
        <v>14</v>
      </c>
      <c r="C86" s="161"/>
      <c r="D86" s="167"/>
      <c r="E86" s="105">
        <v>0</v>
      </c>
      <c r="F86" s="105">
        <v>0</v>
      </c>
      <c r="G86" s="105">
        <v>0</v>
      </c>
      <c r="H86" s="105">
        <v>0</v>
      </c>
      <c r="I86" s="94"/>
      <c r="J86" s="116"/>
      <c r="K86" s="150"/>
    </row>
    <row r="87" spans="1:11">
      <c r="A87" s="165">
        <v>27</v>
      </c>
      <c r="B87" s="166" t="s">
        <v>125</v>
      </c>
      <c r="C87" s="165"/>
      <c r="D87" s="167" t="s">
        <v>22</v>
      </c>
      <c r="E87" s="165" t="s">
        <v>23</v>
      </c>
      <c r="F87" s="168">
        <v>95</v>
      </c>
      <c r="G87" s="105">
        <v>174000</v>
      </c>
      <c r="H87" s="105">
        <v>20000</v>
      </c>
      <c r="I87" s="105">
        <f t="shared" ref="I87" si="29">+G87+H87</f>
        <v>194000</v>
      </c>
      <c r="J87" s="116">
        <f t="shared" si="27"/>
        <v>18430000</v>
      </c>
      <c r="K87" s="150"/>
    </row>
    <row r="88" spans="1:11">
      <c r="A88" s="165">
        <v>28</v>
      </c>
      <c r="B88" s="166" t="s">
        <v>126</v>
      </c>
      <c r="C88" s="165"/>
      <c r="D88" s="167" t="s">
        <v>22</v>
      </c>
      <c r="E88" s="165" t="s">
        <v>23</v>
      </c>
      <c r="F88" s="168">
        <f>731+29*5</f>
        <v>876</v>
      </c>
      <c r="G88" s="105">
        <v>103448.8</v>
      </c>
      <c r="H88" s="105">
        <v>15000</v>
      </c>
      <c r="I88" s="105">
        <f t="shared" ref="I88:I92" si="30">+G88+H88</f>
        <v>118448.8</v>
      </c>
      <c r="J88" s="116">
        <f t="shared" si="27"/>
        <v>103761148.8</v>
      </c>
      <c r="K88" s="150"/>
    </row>
    <row r="89" spans="1:11">
      <c r="A89" s="165">
        <v>29</v>
      </c>
      <c r="B89" s="166" t="s">
        <v>127</v>
      </c>
      <c r="C89" s="165"/>
      <c r="D89" s="167" t="s">
        <v>22</v>
      </c>
      <c r="E89" s="165" t="s">
        <v>23</v>
      </c>
      <c r="F89" s="168">
        <f>731+29*5</f>
        <v>876</v>
      </c>
      <c r="G89" s="105">
        <v>50700</v>
      </c>
      <c r="H89" s="105">
        <v>8000</v>
      </c>
      <c r="I89" s="105">
        <f t="shared" si="30"/>
        <v>58700</v>
      </c>
      <c r="J89" s="116">
        <f t="shared" si="27"/>
        <v>51421200</v>
      </c>
      <c r="K89" s="150"/>
    </row>
    <row r="90" spans="1:11">
      <c r="A90" s="165">
        <v>30</v>
      </c>
      <c r="B90" s="170" t="s">
        <v>128</v>
      </c>
      <c r="C90" s="165"/>
      <c r="D90" s="100" t="s">
        <v>25</v>
      </c>
      <c r="E90" s="165" t="s">
        <v>23</v>
      </c>
      <c r="F90" s="168">
        <f>731+29*3+90+17</f>
        <v>925</v>
      </c>
      <c r="G90" s="105">
        <v>14700</v>
      </c>
      <c r="H90" s="105">
        <v>20000</v>
      </c>
      <c r="I90" s="105">
        <f t="shared" si="30"/>
        <v>34700</v>
      </c>
      <c r="J90" s="116">
        <f t="shared" si="27"/>
        <v>32097500</v>
      </c>
      <c r="K90" s="150"/>
    </row>
    <row r="91" spans="1:11">
      <c r="A91" s="165">
        <v>31</v>
      </c>
      <c r="B91" s="170" t="s">
        <v>129</v>
      </c>
      <c r="C91" s="165"/>
      <c r="D91" s="167" t="s">
        <v>27</v>
      </c>
      <c r="E91" s="165" t="s">
        <v>23</v>
      </c>
      <c r="F91" s="168">
        <v>103</v>
      </c>
      <c r="G91" s="105">
        <v>158717</v>
      </c>
      <c r="H91" s="105">
        <v>40000</v>
      </c>
      <c r="I91" s="105">
        <f t="shared" si="30"/>
        <v>198717</v>
      </c>
      <c r="J91" s="116">
        <f t="shared" si="27"/>
        <v>20467851</v>
      </c>
      <c r="K91" s="150"/>
    </row>
    <row r="92" spans="1:11">
      <c r="A92" s="165">
        <v>32</v>
      </c>
      <c r="B92" s="170" t="s">
        <v>130</v>
      </c>
      <c r="C92" s="165"/>
      <c r="D92" s="167"/>
      <c r="E92" s="165" t="s">
        <v>131</v>
      </c>
      <c r="F92" s="168">
        <v>1</v>
      </c>
      <c r="G92" s="105">
        <v>5445290.994</v>
      </c>
      <c r="H92" s="105">
        <v>2233400</v>
      </c>
      <c r="I92" s="105">
        <f t="shared" si="30"/>
        <v>7678690.994</v>
      </c>
      <c r="J92" s="116">
        <f t="shared" si="27"/>
        <v>7678690.994</v>
      </c>
      <c r="K92" s="150"/>
    </row>
    <row r="93" spans="1:11">
      <c r="A93" s="161"/>
      <c r="B93" s="171" t="s">
        <v>132</v>
      </c>
      <c r="C93" s="161"/>
      <c r="D93" s="163">
        <v>0</v>
      </c>
      <c r="E93" s="105">
        <v>0</v>
      </c>
      <c r="F93" s="105">
        <v>0</v>
      </c>
      <c r="G93" s="115"/>
      <c r="H93" s="103"/>
      <c r="I93" s="94"/>
      <c r="J93" s="116"/>
      <c r="K93" s="150"/>
    </row>
    <row r="94" spans="1:11">
      <c r="A94" s="165">
        <v>33</v>
      </c>
      <c r="B94" s="166" t="s">
        <v>133</v>
      </c>
      <c r="C94" s="165"/>
      <c r="D94" s="167"/>
      <c r="E94" s="165" t="s">
        <v>95</v>
      </c>
      <c r="F94" s="168">
        <f>1.2*0.8*0.6</f>
        <v>0.576</v>
      </c>
      <c r="G94" s="115">
        <v>0</v>
      </c>
      <c r="H94" s="103">
        <v>40520</v>
      </c>
      <c r="I94" s="94">
        <f t="shared" ref="I94:I135" si="31">+G94+H94</f>
        <v>40520</v>
      </c>
      <c r="J94" s="116">
        <f t="shared" si="27"/>
        <v>23339.52</v>
      </c>
      <c r="K94" s="150"/>
    </row>
    <row r="95" spans="1:11">
      <c r="A95" s="165">
        <v>34</v>
      </c>
      <c r="B95" s="166" t="s">
        <v>134</v>
      </c>
      <c r="C95" s="165"/>
      <c r="D95" s="167"/>
      <c r="E95" s="165" t="s">
        <v>95</v>
      </c>
      <c r="F95" s="168">
        <f>+F94-F97</f>
        <v>0.345</v>
      </c>
      <c r="G95" s="115">
        <v>0</v>
      </c>
      <c r="H95" s="103">
        <v>42411.69</v>
      </c>
      <c r="I95" s="94">
        <f t="shared" si="31"/>
        <v>42411.69</v>
      </c>
      <c r="J95" s="116">
        <f t="shared" si="27"/>
        <v>14632.03305</v>
      </c>
      <c r="K95" s="150"/>
    </row>
    <row r="96" spans="1:11">
      <c r="A96" s="165">
        <v>35</v>
      </c>
      <c r="B96" s="166" t="s">
        <v>99</v>
      </c>
      <c r="C96" s="165"/>
      <c r="D96" s="167"/>
      <c r="E96" s="165" t="s">
        <v>95</v>
      </c>
      <c r="F96" s="168">
        <f>+F94-F95</f>
        <v>0.231</v>
      </c>
      <c r="G96" s="115">
        <v>0</v>
      </c>
      <c r="H96" s="103">
        <v>42411.69</v>
      </c>
      <c r="I96" s="94">
        <f t="shared" si="31"/>
        <v>42411.69</v>
      </c>
      <c r="J96" s="116">
        <f t="shared" si="27"/>
        <v>9797.10039</v>
      </c>
      <c r="K96" s="150"/>
    </row>
    <row r="97" ht="31" spans="1:11">
      <c r="A97" s="165">
        <v>36</v>
      </c>
      <c r="B97" s="166" t="s">
        <v>135</v>
      </c>
      <c r="C97" s="165"/>
      <c r="D97" s="167"/>
      <c r="E97" s="165" t="s">
        <v>95</v>
      </c>
      <c r="F97" s="168">
        <f>0.6*0.35*1.1</f>
        <v>0.231</v>
      </c>
      <c r="G97" s="115">
        <v>1846000</v>
      </c>
      <c r="H97" s="103">
        <v>480000</v>
      </c>
      <c r="I97" s="94">
        <f t="shared" si="31"/>
        <v>2326000</v>
      </c>
      <c r="J97" s="116">
        <f t="shared" si="27"/>
        <v>537306</v>
      </c>
      <c r="K97" s="150"/>
    </row>
    <row r="98" spans="1:11">
      <c r="A98" s="165">
        <v>37</v>
      </c>
      <c r="B98" s="166" t="s">
        <v>136</v>
      </c>
      <c r="C98" s="165"/>
      <c r="D98" s="167"/>
      <c r="E98" s="165" t="s">
        <v>107</v>
      </c>
      <c r="F98" s="168">
        <f>1.1*4*0.01</f>
        <v>0.044</v>
      </c>
      <c r="G98" s="115">
        <v>18552400.4683841</v>
      </c>
      <c r="H98" s="103">
        <v>16900000</v>
      </c>
      <c r="I98" s="94">
        <f t="shared" si="31"/>
        <v>35452400.4683841</v>
      </c>
      <c r="J98" s="116">
        <f t="shared" si="27"/>
        <v>1559905.6206089</v>
      </c>
      <c r="K98" s="150"/>
    </row>
    <row r="99" spans="1:11">
      <c r="A99" s="165">
        <v>38</v>
      </c>
      <c r="B99" s="166" t="s">
        <v>110</v>
      </c>
      <c r="C99" s="165"/>
      <c r="D99" s="167"/>
      <c r="E99" s="165" t="s">
        <v>137</v>
      </c>
      <c r="F99" s="168">
        <v>3</v>
      </c>
      <c r="G99" s="115">
        <v>539110</v>
      </c>
      <c r="H99" s="103">
        <v>85000</v>
      </c>
      <c r="I99" s="94">
        <f t="shared" si="31"/>
        <v>624110</v>
      </c>
      <c r="J99" s="116">
        <f t="shared" si="27"/>
        <v>1872330</v>
      </c>
      <c r="K99" s="150"/>
    </row>
    <row r="100" spans="1:11">
      <c r="A100" s="165">
        <v>39</v>
      </c>
      <c r="B100" s="166" t="s">
        <v>112</v>
      </c>
      <c r="C100" s="165"/>
      <c r="D100" s="167"/>
      <c r="E100" s="165" t="s">
        <v>23</v>
      </c>
      <c r="F100" s="168">
        <v>10</v>
      </c>
      <c r="G100" s="115">
        <v>25050.2</v>
      </c>
      <c r="H100" s="103">
        <v>10000</v>
      </c>
      <c r="I100" s="94">
        <f t="shared" si="31"/>
        <v>35050.2</v>
      </c>
      <c r="J100" s="116">
        <f t="shared" si="27"/>
        <v>350502</v>
      </c>
      <c r="K100" s="150"/>
    </row>
    <row r="101" spans="1:11">
      <c r="A101" s="165">
        <v>40</v>
      </c>
      <c r="B101" s="166" t="s">
        <v>113</v>
      </c>
      <c r="C101" s="165"/>
      <c r="D101" s="167"/>
      <c r="E101" s="165" t="s">
        <v>30</v>
      </c>
      <c r="F101" s="168">
        <v>1</v>
      </c>
      <c r="G101" s="115">
        <v>35000</v>
      </c>
      <c r="H101" s="103">
        <v>8000</v>
      </c>
      <c r="I101" s="94">
        <f t="shared" si="31"/>
        <v>43000</v>
      </c>
      <c r="J101" s="116">
        <f t="shared" si="27"/>
        <v>43000</v>
      </c>
      <c r="K101" s="150"/>
    </row>
    <row r="102" spans="1:11">
      <c r="A102" s="165">
        <v>41</v>
      </c>
      <c r="B102" s="166" t="s">
        <v>138</v>
      </c>
      <c r="C102" s="165"/>
      <c r="D102" s="167"/>
      <c r="E102" s="165" t="s">
        <v>42</v>
      </c>
      <c r="F102" s="168">
        <v>1</v>
      </c>
      <c r="G102" s="115">
        <v>715000</v>
      </c>
      <c r="H102" s="103">
        <v>180000</v>
      </c>
      <c r="I102" s="94">
        <f t="shared" si="31"/>
        <v>895000</v>
      </c>
      <c r="J102" s="116">
        <f t="shared" si="27"/>
        <v>895000</v>
      </c>
      <c r="K102" s="150"/>
    </row>
    <row r="103" spans="1:11">
      <c r="A103" s="165">
        <v>42</v>
      </c>
      <c r="B103" s="170" t="s">
        <v>132</v>
      </c>
      <c r="C103" s="165"/>
      <c r="D103" s="167" t="s">
        <v>49</v>
      </c>
      <c r="E103" s="165" t="s">
        <v>139</v>
      </c>
      <c r="F103" s="168">
        <v>1</v>
      </c>
      <c r="G103" s="115">
        <v>27508000</v>
      </c>
      <c r="H103" s="103">
        <v>1800000</v>
      </c>
      <c r="I103" s="94">
        <f t="shared" si="31"/>
        <v>29308000</v>
      </c>
      <c r="J103" s="116">
        <f t="shared" si="27"/>
        <v>29308000</v>
      </c>
      <c r="K103" s="150"/>
    </row>
    <row r="104" spans="1:11">
      <c r="A104" s="151" t="s">
        <v>140</v>
      </c>
      <c r="B104" s="152" t="s">
        <v>141</v>
      </c>
      <c r="C104" s="151"/>
      <c r="D104" s="153">
        <v>0</v>
      </c>
      <c r="E104" s="172"/>
      <c r="F104" s="173"/>
      <c r="G104" s="156"/>
      <c r="H104" s="156"/>
      <c r="I104" s="158">
        <f t="shared" si="31"/>
        <v>0</v>
      </c>
      <c r="J104" s="159"/>
      <c r="K104" s="160"/>
    </row>
    <row r="105" spans="1:11">
      <c r="A105" s="174"/>
      <c r="B105" s="175" t="s">
        <v>14</v>
      </c>
      <c r="C105" s="175"/>
      <c r="D105" s="176"/>
      <c r="E105" s="165"/>
      <c r="F105" s="168"/>
      <c r="G105" s="115"/>
      <c r="H105" s="115"/>
      <c r="I105" s="94">
        <f t="shared" si="31"/>
        <v>0</v>
      </c>
      <c r="J105" s="116"/>
      <c r="K105" s="150"/>
    </row>
    <row r="106" spans="1:11">
      <c r="A106" s="165">
        <v>1</v>
      </c>
      <c r="B106" s="170" t="s">
        <v>142</v>
      </c>
      <c r="C106" s="165"/>
      <c r="D106" s="167" t="s">
        <v>143</v>
      </c>
      <c r="E106" s="165" t="s">
        <v>23</v>
      </c>
      <c r="F106" s="168">
        <v>157</v>
      </c>
      <c r="G106" s="115">
        <v>1627600</v>
      </c>
      <c r="H106" s="115">
        <v>250000</v>
      </c>
      <c r="I106" s="94">
        <f t="shared" si="31"/>
        <v>1877600</v>
      </c>
      <c r="J106" s="116">
        <f t="shared" si="27"/>
        <v>294783200</v>
      </c>
      <c r="K106" s="150"/>
    </row>
    <row r="107" spans="1:11">
      <c r="A107" s="165">
        <v>2</v>
      </c>
      <c r="B107" s="170" t="s">
        <v>144</v>
      </c>
      <c r="C107" s="165"/>
      <c r="D107" s="167" t="s">
        <v>143</v>
      </c>
      <c r="E107" s="165" t="s">
        <v>23</v>
      </c>
      <c r="F107" s="168">
        <v>258</v>
      </c>
      <c r="G107" s="115">
        <v>418600</v>
      </c>
      <c r="H107" s="115">
        <v>125000</v>
      </c>
      <c r="I107" s="94">
        <f t="shared" si="31"/>
        <v>543600</v>
      </c>
      <c r="J107" s="116">
        <f t="shared" si="27"/>
        <v>140248800</v>
      </c>
      <c r="K107" s="150"/>
    </row>
    <row r="108" spans="1:11">
      <c r="A108" s="165">
        <v>3</v>
      </c>
      <c r="B108" s="170" t="s">
        <v>145</v>
      </c>
      <c r="C108" s="165"/>
      <c r="D108" s="167" t="s">
        <v>143</v>
      </c>
      <c r="E108" s="165" t="s">
        <v>23</v>
      </c>
      <c r="F108" s="168">
        <v>489</v>
      </c>
      <c r="G108" s="115">
        <v>265200</v>
      </c>
      <c r="H108" s="115">
        <v>65000</v>
      </c>
      <c r="I108" s="94">
        <f t="shared" si="31"/>
        <v>330200</v>
      </c>
      <c r="J108" s="116">
        <f t="shared" si="27"/>
        <v>161467800</v>
      </c>
      <c r="K108" s="150"/>
    </row>
    <row r="109" spans="1:11">
      <c r="A109" s="165">
        <v>4</v>
      </c>
      <c r="B109" s="170" t="s">
        <v>146</v>
      </c>
      <c r="C109" s="165"/>
      <c r="D109" s="167" t="s">
        <v>143</v>
      </c>
      <c r="E109" s="165" t="s">
        <v>23</v>
      </c>
      <c r="F109" s="168">
        <v>40</v>
      </c>
      <c r="G109" s="115">
        <v>18200</v>
      </c>
      <c r="H109" s="115">
        <v>15000</v>
      </c>
      <c r="I109" s="94">
        <f t="shared" si="31"/>
        <v>33200</v>
      </c>
      <c r="J109" s="116">
        <f t="shared" si="27"/>
        <v>1328000</v>
      </c>
      <c r="K109" s="150"/>
    </row>
    <row r="110" spans="1:11">
      <c r="A110" s="165">
        <v>5</v>
      </c>
      <c r="B110" s="170" t="s">
        <v>147</v>
      </c>
      <c r="C110" s="165"/>
      <c r="D110" s="167" t="s">
        <v>143</v>
      </c>
      <c r="E110" s="165" t="s">
        <v>23</v>
      </c>
      <c r="F110" s="168">
        <v>5</v>
      </c>
      <c r="G110" s="115">
        <v>84500</v>
      </c>
      <c r="H110" s="115">
        <v>40000</v>
      </c>
      <c r="I110" s="94">
        <f t="shared" si="31"/>
        <v>124500</v>
      </c>
      <c r="J110" s="116">
        <f t="shared" si="27"/>
        <v>622500</v>
      </c>
      <c r="K110" s="150"/>
    </row>
    <row r="111" spans="1:11">
      <c r="A111" s="165">
        <v>6</v>
      </c>
      <c r="B111" s="170" t="s">
        <v>148</v>
      </c>
      <c r="C111" s="165"/>
      <c r="D111" s="167" t="s">
        <v>143</v>
      </c>
      <c r="E111" s="165" t="s">
        <v>149</v>
      </c>
      <c r="F111" s="168">
        <v>2</v>
      </c>
      <c r="G111" s="177">
        <v>13939270.8</v>
      </c>
      <c r="H111" s="177">
        <v>801862</v>
      </c>
      <c r="I111" s="94">
        <f t="shared" si="31"/>
        <v>14741132.8</v>
      </c>
      <c r="J111" s="116">
        <f t="shared" si="27"/>
        <v>29482265.6</v>
      </c>
      <c r="K111" s="150"/>
    </row>
    <row r="112" spans="1:11">
      <c r="A112" s="165">
        <v>7</v>
      </c>
      <c r="B112" s="170" t="s">
        <v>150</v>
      </c>
      <c r="C112" s="165"/>
      <c r="D112" s="167" t="s">
        <v>143</v>
      </c>
      <c r="E112" s="165" t="s">
        <v>149</v>
      </c>
      <c r="F112" s="168">
        <v>2</v>
      </c>
      <c r="G112" s="177">
        <v>9256591.5</v>
      </c>
      <c r="H112" s="177">
        <v>601862</v>
      </c>
      <c r="I112" s="94">
        <f t="shared" si="31"/>
        <v>9858453.5</v>
      </c>
      <c r="J112" s="116">
        <f t="shared" si="27"/>
        <v>19716907</v>
      </c>
      <c r="K112" s="150"/>
    </row>
    <row r="113" spans="1:11">
      <c r="A113" s="165">
        <v>8</v>
      </c>
      <c r="B113" s="170" t="s">
        <v>151</v>
      </c>
      <c r="C113" s="165"/>
      <c r="D113" s="167" t="s">
        <v>143</v>
      </c>
      <c r="E113" s="165" t="s">
        <v>149</v>
      </c>
      <c r="F113" s="168">
        <v>2</v>
      </c>
      <c r="G113" s="115">
        <v>3591900</v>
      </c>
      <c r="H113" s="177">
        <v>444869</v>
      </c>
      <c r="I113" s="94">
        <f t="shared" si="31"/>
        <v>4036769</v>
      </c>
      <c r="J113" s="116">
        <f t="shared" si="27"/>
        <v>8073538</v>
      </c>
      <c r="K113" s="150"/>
    </row>
    <row r="114" spans="1:11">
      <c r="A114" s="165">
        <v>9</v>
      </c>
      <c r="B114" s="170" t="s">
        <v>152</v>
      </c>
      <c r="C114" s="165"/>
      <c r="D114" s="167" t="s">
        <v>143</v>
      </c>
      <c r="E114" s="165" t="s">
        <v>149</v>
      </c>
      <c r="F114" s="168">
        <v>1</v>
      </c>
      <c r="G114" s="115">
        <v>921700</v>
      </c>
      <c r="H114" s="115">
        <v>289000</v>
      </c>
      <c r="I114" s="94">
        <f t="shared" si="31"/>
        <v>1210700</v>
      </c>
      <c r="J114" s="116">
        <f t="shared" ref="J114:J176" si="32">+I114*F114</f>
        <v>1210700</v>
      </c>
      <c r="K114" s="150"/>
    </row>
    <row r="115" spans="1:11">
      <c r="A115" s="165">
        <v>10</v>
      </c>
      <c r="B115" s="170" t="s">
        <v>153</v>
      </c>
      <c r="C115" s="165"/>
      <c r="D115" s="167" t="s">
        <v>143</v>
      </c>
      <c r="E115" s="165" t="s">
        <v>149</v>
      </c>
      <c r="F115" s="168">
        <v>2</v>
      </c>
      <c r="G115" s="115">
        <v>880100</v>
      </c>
      <c r="H115" s="115">
        <v>254000</v>
      </c>
      <c r="I115" s="94">
        <f t="shared" si="31"/>
        <v>1134100</v>
      </c>
      <c r="J115" s="116">
        <f t="shared" si="32"/>
        <v>2268200</v>
      </c>
      <c r="K115" s="150"/>
    </row>
    <row r="116" spans="1:11">
      <c r="A116" s="165">
        <v>11</v>
      </c>
      <c r="B116" s="170" t="s">
        <v>154</v>
      </c>
      <c r="C116" s="165"/>
      <c r="D116" s="167" t="s">
        <v>143</v>
      </c>
      <c r="E116" s="165" t="s">
        <v>149</v>
      </c>
      <c r="F116" s="168">
        <v>2</v>
      </c>
      <c r="G116" s="115">
        <v>491400</v>
      </c>
      <c r="H116" s="115">
        <v>254000</v>
      </c>
      <c r="I116" s="94">
        <f t="shared" si="31"/>
        <v>745400</v>
      </c>
      <c r="J116" s="116">
        <f t="shared" si="32"/>
        <v>1490800</v>
      </c>
      <c r="K116" s="150"/>
    </row>
    <row r="117" spans="1:11">
      <c r="A117" s="165">
        <v>12</v>
      </c>
      <c r="B117" s="170" t="s">
        <v>155</v>
      </c>
      <c r="C117" s="165"/>
      <c r="D117" s="167" t="s">
        <v>143</v>
      </c>
      <c r="E117" s="165" t="s">
        <v>149</v>
      </c>
      <c r="F117" s="168">
        <v>1</v>
      </c>
      <c r="G117" s="115">
        <v>668200</v>
      </c>
      <c r="H117" s="115">
        <v>254000</v>
      </c>
      <c r="I117" s="94">
        <f t="shared" si="31"/>
        <v>922200</v>
      </c>
      <c r="J117" s="116">
        <f t="shared" si="32"/>
        <v>922200</v>
      </c>
      <c r="K117" s="150"/>
    </row>
    <row r="118" spans="1:11">
      <c r="A118" s="165">
        <v>13</v>
      </c>
      <c r="B118" s="170" t="s">
        <v>156</v>
      </c>
      <c r="C118" s="165"/>
      <c r="D118" s="167" t="s">
        <v>143</v>
      </c>
      <c r="E118" s="165" t="s">
        <v>149</v>
      </c>
      <c r="F118" s="168">
        <v>2</v>
      </c>
      <c r="G118" s="115">
        <v>395200</v>
      </c>
      <c r="H118" s="115">
        <v>230000</v>
      </c>
      <c r="I118" s="94">
        <f t="shared" si="31"/>
        <v>625200</v>
      </c>
      <c r="J118" s="116">
        <f t="shared" si="32"/>
        <v>1250400</v>
      </c>
      <c r="K118" s="150"/>
    </row>
    <row r="119" spans="1:11">
      <c r="A119" s="165">
        <v>14</v>
      </c>
      <c r="B119" s="170" t="s">
        <v>157</v>
      </c>
      <c r="C119" s="165"/>
      <c r="D119" s="167" t="s">
        <v>143</v>
      </c>
      <c r="E119" s="165" t="s">
        <v>149</v>
      </c>
      <c r="F119" s="168">
        <v>1</v>
      </c>
      <c r="G119" s="115">
        <v>634400</v>
      </c>
      <c r="H119" s="115">
        <v>230000</v>
      </c>
      <c r="I119" s="94">
        <f t="shared" si="31"/>
        <v>864400</v>
      </c>
      <c r="J119" s="116">
        <f t="shared" si="32"/>
        <v>864400</v>
      </c>
      <c r="K119" s="150"/>
    </row>
    <row r="120" spans="1:11">
      <c r="A120" s="165">
        <v>15</v>
      </c>
      <c r="B120" s="170" t="s">
        <v>158</v>
      </c>
      <c r="C120" s="165"/>
      <c r="D120" s="167" t="s">
        <v>143</v>
      </c>
      <c r="E120" s="165" t="s">
        <v>149</v>
      </c>
      <c r="F120" s="168">
        <v>1</v>
      </c>
      <c r="G120" s="115">
        <v>279500</v>
      </c>
      <c r="H120" s="115">
        <v>150000</v>
      </c>
      <c r="I120" s="94">
        <f t="shared" si="31"/>
        <v>429500</v>
      </c>
      <c r="J120" s="116">
        <f t="shared" si="32"/>
        <v>429500</v>
      </c>
      <c r="K120" s="150"/>
    </row>
    <row r="121" spans="1:11">
      <c r="A121" s="165">
        <v>16</v>
      </c>
      <c r="B121" s="170" t="s">
        <v>159</v>
      </c>
      <c r="C121" s="165"/>
      <c r="D121" s="167" t="s">
        <v>143</v>
      </c>
      <c r="E121" s="165" t="s">
        <v>149</v>
      </c>
      <c r="F121" s="168">
        <v>1</v>
      </c>
      <c r="G121" s="115">
        <v>192400</v>
      </c>
      <c r="H121" s="115">
        <v>150000</v>
      </c>
      <c r="I121" s="94">
        <f t="shared" si="31"/>
        <v>342400</v>
      </c>
      <c r="J121" s="116">
        <f t="shared" si="32"/>
        <v>342400</v>
      </c>
      <c r="K121" s="150"/>
    </row>
    <row r="122" ht="15" customHeight="1" spans="1:11">
      <c r="A122" s="165">
        <v>17</v>
      </c>
      <c r="B122" s="170" t="s">
        <v>160</v>
      </c>
      <c r="C122" s="165"/>
      <c r="D122" s="167" t="s">
        <v>143</v>
      </c>
      <c r="E122" s="165" t="s">
        <v>149</v>
      </c>
      <c r="F122" s="168">
        <v>1</v>
      </c>
      <c r="G122" s="115">
        <v>143000</v>
      </c>
      <c r="H122" s="115">
        <v>90000</v>
      </c>
      <c r="I122" s="94">
        <f t="shared" si="31"/>
        <v>233000</v>
      </c>
      <c r="J122" s="116">
        <f t="shared" si="32"/>
        <v>233000</v>
      </c>
      <c r="K122" s="150"/>
    </row>
    <row r="123" spans="1:11">
      <c r="A123" s="165">
        <v>18</v>
      </c>
      <c r="B123" s="170" t="s">
        <v>161</v>
      </c>
      <c r="C123" s="165"/>
      <c r="D123" s="167" t="s">
        <v>143</v>
      </c>
      <c r="E123" s="165" t="s">
        <v>149</v>
      </c>
      <c r="F123" s="168">
        <v>5</v>
      </c>
      <c r="G123" s="115">
        <v>162500</v>
      </c>
      <c r="H123" s="115">
        <v>45000</v>
      </c>
      <c r="I123" s="94">
        <f t="shared" si="31"/>
        <v>207500</v>
      </c>
      <c r="J123" s="116">
        <f t="shared" si="32"/>
        <v>1037500</v>
      </c>
      <c r="K123" s="150"/>
    </row>
    <row r="124" spans="1:11">
      <c r="A124" s="165">
        <v>19</v>
      </c>
      <c r="B124" s="170" t="s">
        <v>162</v>
      </c>
      <c r="C124" s="165"/>
      <c r="D124" s="167" t="s">
        <v>143</v>
      </c>
      <c r="E124" s="165" t="s">
        <v>149</v>
      </c>
      <c r="F124" s="168">
        <v>5</v>
      </c>
      <c r="G124" s="115">
        <v>41600</v>
      </c>
      <c r="H124" s="115">
        <v>25000</v>
      </c>
      <c r="I124" s="94">
        <f t="shared" si="31"/>
        <v>66600</v>
      </c>
      <c r="J124" s="116">
        <f t="shared" si="32"/>
        <v>333000</v>
      </c>
      <c r="K124" s="150"/>
    </row>
    <row r="125" spans="1:11">
      <c r="A125" s="165">
        <v>20</v>
      </c>
      <c r="B125" s="170" t="s">
        <v>163</v>
      </c>
      <c r="C125" s="165"/>
      <c r="D125" s="167" t="s">
        <v>143</v>
      </c>
      <c r="E125" s="165" t="s">
        <v>149</v>
      </c>
      <c r="F125" s="168">
        <v>1</v>
      </c>
      <c r="G125" s="115">
        <v>296400</v>
      </c>
      <c r="H125" s="115">
        <v>75000</v>
      </c>
      <c r="I125" s="94">
        <f t="shared" si="31"/>
        <v>371400</v>
      </c>
      <c r="J125" s="116">
        <f t="shared" si="32"/>
        <v>371400</v>
      </c>
      <c r="K125" s="150"/>
    </row>
    <row r="126" spans="1:11">
      <c r="A126" s="165">
        <v>21</v>
      </c>
      <c r="B126" s="170" t="s">
        <v>164</v>
      </c>
      <c r="C126" s="165"/>
      <c r="D126" s="167" t="s">
        <v>143</v>
      </c>
      <c r="E126" s="165" t="s">
        <v>30</v>
      </c>
      <c r="F126" s="168">
        <v>2</v>
      </c>
      <c r="G126" s="115">
        <v>390000</v>
      </c>
      <c r="H126" s="115">
        <v>125000</v>
      </c>
      <c r="I126" s="94">
        <f t="shared" si="31"/>
        <v>515000</v>
      </c>
      <c r="J126" s="116">
        <f t="shared" si="32"/>
        <v>1030000</v>
      </c>
      <c r="K126" s="150"/>
    </row>
    <row r="127" spans="1:11">
      <c r="A127" s="165">
        <v>22</v>
      </c>
      <c r="B127" s="170" t="s">
        <v>165</v>
      </c>
      <c r="C127" s="165"/>
      <c r="D127" s="167" t="s">
        <v>143</v>
      </c>
      <c r="E127" s="165" t="s">
        <v>30</v>
      </c>
      <c r="F127" s="168">
        <v>2</v>
      </c>
      <c r="G127" s="115">
        <v>214500</v>
      </c>
      <c r="H127" s="115">
        <v>95000</v>
      </c>
      <c r="I127" s="94">
        <f t="shared" si="31"/>
        <v>309500</v>
      </c>
      <c r="J127" s="116">
        <f t="shared" si="32"/>
        <v>619000</v>
      </c>
      <c r="K127" s="150"/>
    </row>
    <row r="128" spans="1:11">
      <c r="A128" s="165">
        <v>23</v>
      </c>
      <c r="B128" s="170" t="s">
        <v>166</v>
      </c>
      <c r="C128" s="165"/>
      <c r="D128" s="167"/>
      <c r="E128" s="165" t="s">
        <v>30</v>
      </c>
      <c r="F128" s="168">
        <v>2</v>
      </c>
      <c r="G128" s="178">
        <v>3177300</v>
      </c>
      <c r="H128" s="115">
        <v>250000</v>
      </c>
      <c r="I128" s="94">
        <f t="shared" si="31"/>
        <v>3427300</v>
      </c>
      <c r="J128" s="116">
        <f t="shared" si="32"/>
        <v>6854600</v>
      </c>
      <c r="K128" s="150"/>
    </row>
    <row r="129" spans="1:11">
      <c r="A129" s="165">
        <v>24</v>
      </c>
      <c r="B129" s="170" t="s">
        <v>167</v>
      </c>
      <c r="C129" s="165"/>
      <c r="D129" s="167"/>
      <c r="E129" s="165" t="s">
        <v>30</v>
      </c>
      <c r="F129" s="168">
        <v>2</v>
      </c>
      <c r="G129" s="178">
        <v>2866700</v>
      </c>
      <c r="H129" s="115">
        <v>230000</v>
      </c>
      <c r="I129" s="94">
        <f t="shared" si="31"/>
        <v>3096700</v>
      </c>
      <c r="J129" s="116">
        <f t="shared" si="32"/>
        <v>6193400</v>
      </c>
      <c r="K129" s="150"/>
    </row>
    <row r="130" spans="1:11">
      <c r="A130" s="165">
        <v>25</v>
      </c>
      <c r="B130" s="170" t="s">
        <v>168</v>
      </c>
      <c r="C130" s="165"/>
      <c r="D130" s="167"/>
      <c r="E130" s="165" t="s">
        <v>30</v>
      </c>
      <c r="F130" s="168">
        <v>2</v>
      </c>
      <c r="G130" s="177">
        <v>2682253</v>
      </c>
      <c r="H130" s="177">
        <v>421513</v>
      </c>
      <c r="I130" s="94">
        <f t="shared" si="31"/>
        <v>3103766</v>
      </c>
      <c r="J130" s="116">
        <f t="shared" si="32"/>
        <v>6207532</v>
      </c>
      <c r="K130" s="150"/>
    </row>
    <row r="131" spans="1:11">
      <c r="A131" s="165">
        <v>26</v>
      </c>
      <c r="B131" s="170" t="s">
        <v>169</v>
      </c>
      <c r="C131" s="165"/>
      <c r="D131" s="167"/>
      <c r="E131" s="165" t="s">
        <v>30</v>
      </c>
      <c r="F131" s="168">
        <v>2</v>
      </c>
      <c r="G131" s="177">
        <v>2273293</v>
      </c>
      <c r="H131" s="177">
        <v>238292</v>
      </c>
      <c r="I131" s="94">
        <f t="shared" si="31"/>
        <v>2511585</v>
      </c>
      <c r="J131" s="116">
        <f t="shared" si="32"/>
        <v>5023170</v>
      </c>
      <c r="K131" s="150"/>
    </row>
    <row r="132" spans="1:11">
      <c r="A132" s="165">
        <v>27</v>
      </c>
      <c r="B132" s="170" t="s">
        <v>170</v>
      </c>
      <c r="C132" s="165"/>
      <c r="D132" s="167"/>
      <c r="E132" s="165" t="s">
        <v>30</v>
      </c>
      <c r="F132" s="168">
        <f>16*2+16*2</f>
        <v>64</v>
      </c>
      <c r="G132" s="177">
        <v>171701</v>
      </c>
      <c r="H132" s="179">
        <v>15000</v>
      </c>
      <c r="I132" s="94">
        <f t="shared" si="31"/>
        <v>186701</v>
      </c>
      <c r="J132" s="116">
        <f t="shared" si="32"/>
        <v>11948864</v>
      </c>
      <c r="K132" s="150"/>
    </row>
    <row r="133" spans="1:11">
      <c r="A133" s="165">
        <v>28</v>
      </c>
      <c r="B133" s="170" t="s">
        <v>171</v>
      </c>
      <c r="C133" s="165"/>
      <c r="D133" s="167"/>
      <c r="E133" s="165" t="s">
        <v>23</v>
      </c>
      <c r="F133" s="168">
        <v>949</v>
      </c>
      <c r="G133" s="115">
        <v>25000</v>
      </c>
      <c r="H133" s="179">
        <v>8000</v>
      </c>
      <c r="I133" s="94">
        <f t="shared" si="31"/>
        <v>33000</v>
      </c>
      <c r="J133" s="116">
        <f t="shared" si="32"/>
        <v>31317000</v>
      </c>
      <c r="K133" s="150"/>
    </row>
    <row r="134" spans="1:11">
      <c r="A134" s="165">
        <v>29</v>
      </c>
      <c r="B134" s="170" t="s">
        <v>172</v>
      </c>
      <c r="C134" s="165"/>
      <c r="D134" s="167"/>
      <c r="E134" s="165" t="s">
        <v>23</v>
      </c>
      <c r="F134" s="168">
        <v>949</v>
      </c>
      <c r="G134" s="115">
        <v>35000</v>
      </c>
      <c r="H134" s="179">
        <v>15000</v>
      </c>
      <c r="I134" s="94">
        <f t="shared" si="31"/>
        <v>50000</v>
      </c>
      <c r="J134" s="116">
        <f t="shared" si="32"/>
        <v>47450000</v>
      </c>
      <c r="K134" s="150"/>
    </row>
    <row r="135" spans="1:11">
      <c r="A135" s="161"/>
      <c r="B135" s="171" t="s">
        <v>173</v>
      </c>
      <c r="C135" s="161"/>
      <c r="D135" s="163"/>
      <c r="E135" s="177">
        <v>0</v>
      </c>
      <c r="F135" s="177">
        <v>0</v>
      </c>
      <c r="G135" s="105">
        <v>0</v>
      </c>
      <c r="H135" s="179"/>
      <c r="I135" s="94"/>
      <c r="J135" s="116"/>
      <c r="K135" s="150"/>
    </row>
    <row r="136" spans="1:11">
      <c r="A136" s="165">
        <v>30</v>
      </c>
      <c r="B136" s="170" t="s">
        <v>174</v>
      </c>
      <c r="C136" s="165"/>
      <c r="D136" s="167"/>
      <c r="E136" s="165" t="s">
        <v>175</v>
      </c>
      <c r="F136" s="168">
        <f>+((0.4+0.3)*2*0.15+0.4*4*0.1)*4</f>
        <v>1.48</v>
      </c>
      <c r="G136" s="115">
        <v>185524.004683841</v>
      </c>
      <c r="H136" s="179">
        <v>169000</v>
      </c>
      <c r="I136" s="105">
        <f t="shared" ref="I136:I176" si="33">+G136+H136</f>
        <v>354524.004683841</v>
      </c>
      <c r="J136" s="116">
        <f t="shared" si="32"/>
        <v>524695.526932085</v>
      </c>
      <c r="K136" s="150"/>
    </row>
    <row r="137" spans="1:11">
      <c r="A137" s="165">
        <v>31</v>
      </c>
      <c r="B137" s="170" t="s">
        <v>176</v>
      </c>
      <c r="C137" s="165"/>
      <c r="D137" s="167"/>
      <c r="E137" s="165" t="s">
        <v>95</v>
      </c>
      <c r="F137" s="168">
        <f>0.034*4</f>
        <v>0.136</v>
      </c>
      <c r="G137" s="115">
        <v>2041000</v>
      </c>
      <c r="H137" s="180">
        <v>480000</v>
      </c>
      <c r="I137" s="105">
        <f t="shared" si="33"/>
        <v>2521000</v>
      </c>
      <c r="J137" s="116">
        <f t="shared" si="32"/>
        <v>342856</v>
      </c>
      <c r="K137" s="150"/>
    </row>
    <row r="138" spans="1:11">
      <c r="A138" s="165">
        <v>32</v>
      </c>
      <c r="B138" s="170" t="s">
        <v>177</v>
      </c>
      <c r="C138" s="165"/>
      <c r="D138" s="167"/>
      <c r="E138" s="165" t="s">
        <v>23</v>
      </c>
      <c r="F138" s="168">
        <v>2.8</v>
      </c>
      <c r="G138" s="177">
        <v>87318</v>
      </c>
      <c r="H138" s="177">
        <v>33888.34</v>
      </c>
      <c r="I138" s="105">
        <f t="shared" si="33"/>
        <v>121206.34</v>
      </c>
      <c r="J138" s="116">
        <f t="shared" si="32"/>
        <v>339377.752</v>
      </c>
      <c r="K138" s="150"/>
    </row>
    <row r="139" spans="1:11">
      <c r="A139" s="165">
        <v>33</v>
      </c>
      <c r="B139" s="170" t="s">
        <v>178</v>
      </c>
      <c r="C139" s="165"/>
      <c r="D139" s="167"/>
      <c r="E139" s="165" t="s">
        <v>149</v>
      </c>
      <c r="F139" s="168">
        <v>4</v>
      </c>
      <c r="G139" s="177">
        <v>371553</v>
      </c>
      <c r="H139" s="177">
        <v>71284</v>
      </c>
      <c r="I139" s="105">
        <f t="shared" si="33"/>
        <v>442837</v>
      </c>
      <c r="J139" s="116">
        <f t="shared" si="32"/>
        <v>1771348</v>
      </c>
      <c r="K139" s="150"/>
    </row>
    <row r="140" spans="1:11">
      <c r="A140" s="161"/>
      <c r="B140" s="171" t="s">
        <v>179</v>
      </c>
      <c r="C140" s="161"/>
      <c r="D140" s="163"/>
      <c r="E140" s="161"/>
      <c r="F140" s="169"/>
      <c r="G140" s="177">
        <v>0</v>
      </c>
      <c r="H140" s="177">
        <v>0</v>
      </c>
      <c r="I140" s="105">
        <f t="shared" si="33"/>
        <v>0</v>
      </c>
      <c r="J140" s="116"/>
      <c r="K140" s="150"/>
    </row>
    <row r="141" spans="1:11">
      <c r="A141" s="165">
        <v>34</v>
      </c>
      <c r="B141" s="170" t="s">
        <v>180</v>
      </c>
      <c r="C141" s="165"/>
      <c r="D141" s="167"/>
      <c r="E141" s="165" t="s">
        <v>149</v>
      </c>
      <c r="F141" s="168">
        <v>10</v>
      </c>
      <c r="G141" s="115">
        <v>41600</v>
      </c>
      <c r="H141" s="179">
        <v>25000</v>
      </c>
      <c r="I141" s="105">
        <f t="shared" si="33"/>
        <v>66600</v>
      </c>
      <c r="J141" s="116">
        <f t="shared" si="32"/>
        <v>666000</v>
      </c>
      <c r="K141" s="150"/>
    </row>
    <row r="142" spans="1:11">
      <c r="A142" s="165">
        <v>35</v>
      </c>
      <c r="B142" s="170" t="s">
        <v>181</v>
      </c>
      <c r="C142" s="165"/>
      <c r="D142" s="167"/>
      <c r="E142" s="165" t="s">
        <v>23</v>
      </c>
      <c r="F142" s="168">
        <v>15</v>
      </c>
      <c r="G142" s="115">
        <v>18200</v>
      </c>
      <c r="H142" s="179">
        <v>15000</v>
      </c>
      <c r="I142" s="105">
        <f t="shared" si="33"/>
        <v>33200</v>
      </c>
      <c r="J142" s="116">
        <f t="shared" si="32"/>
        <v>498000</v>
      </c>
      <c r="K142" s="150"/>
    </row>
    <row r="143" spans="1:11">
      <c r="A143" s="165">
        <v>36</v>
      </c>
      <c r="B143" s="170" t="s">
        <v>182</v>
      </c>
      <c r="C143" s="165"/>
      <c r="D143" s="167"/>
      <c r="E143" s="165" t="s">
        <v>149</v>
      </c>
      <c r="F143" s="168">
        <v>5</v>
      </c>
      <c r="G143" s="115">
        <v>59940</v>
      </c>
      <c r="H143" s="179">
        <v>12000</v>
      </c>
      <c r="I143" s="105">
        <f t="shared" si="33"/>
        <v>71940</v>
      </c>
      <c r="J143" s="116">
        <f t="shared" si="32"/>
        <v>359700</v>
      </c>
      <c r="K143" s="150"/>
    </row>
    <row r="144" spans="1:11">
      <c r="A144" s="165">
        <v>37</v>
      </c>
      <c r="B144" s="166" t="s">
        <v>183</v>
      </c>
      <c r="C144" s="165"/>
      <c r="D144" s="167"/>
      <c r="E144" s="165" t="s">
        <v>149</v>
      </c>
      <c r="F144" s="168">
        <v>5</v>
      </c>
      <c r="G144" s="115">
        <v>483000</v>
      </c>
      <c r="H144" s="179">
        <v>60000</v>
      </c>
      <c r="I144" s="105">
        <f t="shared" si="33"/>
        <v>543000</v>
      </c>
      <c r="J144" s="116">
        <f t="shared" si="32"/>
        <v>2715000</v>
      </c>
      <c r="K144" s="150"/>
    </row>
    <row r="145" spans="1:11">
      <c r="A145" s="165">
        <v>38</v>
      </c>
      <c r="B145" s="170" t="s">
        <v>184</v>
      </c>
      <c r="C145" s="165"/>
      <c r="D145" s="167"/>
      <c r="E145" s="165" t="s">
        <v>149</v>
      </c>
      <c r="F145" s="168">
        <v>5</v>
      </c>
      <c r="G145" s="115">
        <v>2132000</v>
      </c>
      <c r="H145" s="179">
        <v>258000</v>
      </c>
      <c r="I145" s="105">
        <f t="shared" si="33"/>
        <v>2390000</v>
      </c>
      <c r="J145" s="116">
        <f t="shared" si="32"/>
        <v>11950000</v>
      </c>
      <c r="K145" s="150"/>
    </row>
    <row r="146" spans="1:11">
      <c r="A146" s="165">
        <v>39</v>
      </c>
      <c r="B146" s="170" t="s">
        <v>185</v>
      </c>
      <c r="C146" s="165"/>
      <c r="D146" s="167"/>
      <c r="E146" s="165" t="s">
        <v>149</v>
      </c>
      <c r="F146" s="168">
        <v>5</v>
      </c>
      <c r="G146" s="115">
        <v>481000</v>
      </c>
      <c r="H146" s="179">
        <v>55000</v>
      </c>
      <c r="I146" s="105">
        <f t="shared" si="33"/>
        <v>536000</v>
      </c>
      <c r="J146" s="116">
        <f t="shared" si="32"/>
        <v>2680000</v>
      </c>
      <c r="K146" s="150"/>
    </row>
    <row r="147" ht="77.5" spans="1:11">
      <c r="A147" s="165">
        <v>40</v>
      </c>
      <c r="B147" s="140" t="s">
        <v>186</v>
      </c>
      <c r="C147" s="165"/>
      <c r="D147" s="167"/>
      <c r="E147" s="165" t="s">
        <v>149</v>
      </c>
      <c r="F147" s="168">
        <v>5</v>
      </c>
      <c r="G147" s="177">
        <v>927850</v>
      </c>
      <c r="H147" s="177">
        <v>150088</v>
      </c>
      <c r="I147" s="105">
        <f t="shared" si="33"/>
        <v>1077938</v>
      </c>
      <c r="J147" s="116">
        <f t="shared" si="32"/>
        <v>5389690</v>
      </c>
      <c r="K147" s="150"/>
    </row>
    <row r="148" spans="1:11">
      <c r="A148" s="181"/>
      <c r="B148" s="182" t="s">
        <v>187</v>
      </c>
      <c r="C148" s="183"/>
      <c r="D148" s="184"/>
      <c r="E148" s="185"/>
      <c r="F148" s="186"/>
      <c r="G148" s="187"/>
      <c r="H148" s="187"/>
      <c r="I148" s="187"/>
      <c r="J148" s="188"/>
      <c r="K148" s="189" t="s">
        <v>188</v>
      </c>
    </row>
    <row r="149" spans="1:11">
      <c r="A149" s="161"/>
      <c r="B149" s="171" t="s">
        <v>189</v>
      </c>
      <c r="C149" s="161"/>
      <c r="D149" s="163"/>
      <c r="E149" s="161"/>
      <c r="F149" s="169"/>
      <c r="G149" s="177">
        <v>0</v>
      </c>
      <c r="H149" s="177">
        <v>0</v>
      </c>
      <c r="I149" s="105">
        <f t="shared" si="33"/>
        <v>0</v>
      </c>
      <c r="J149" s="116"/>
      <c r="K149" s="150"/>
    </row>
    <row r="150" spans="1:11">
      <c r="A150" s="165">
        <v>41</v>
      </c>
      <c r="B150" s="170" t="s">
        <v>190</v>
      </c>
      <c r="C150" s="165"/>
      <c r="D150" s="167"/>
      <c r="E150" s="165" t="s">
        <v>95</v>
      </c>
      <c r="F150" s="168">
        <f>+(1.5+0.51)*1.1/2*3*4</f>
        <v>13.266</v>
      </c>
      <c r="G150" s="177">
        <v>0</v>
      </c>
      <c r="H150" s="103">
        <v>40520</v>
      </c>
      <c r="I150" s="105">
        <f t="shared" si="33"/>
        <v>40520</v>
      </c>
      <c r="J150" s="116">
        <f t="shared" si="32"/>
        <v>537538.32</v>
      </c>
      <c r="K150" s="150"/>
    </row>
    <row r="151" spans="1:11">
      <c r="A151" s="165">
        <v>42</v>
      </c>
      <c r="B151" s="170" t="s">
        <v>191</v>
      </c>
      <c r="C151" s="165"/>
      <c r="D151" s="167"/>
      <c r="E151" s="165" t="s">
        <v>95</v>
      </c>
      <c r="F151" s="168">
        <f>+(1.5+0.51)*1.1/2*3*4-3.14*(0.11/2)^2*3*4</f>
        <v>13.152018</v>
      </c>
      <c r="G151" s="177">
        <v>0</v>
      </c>
      <c r="H151" s="103">
        <v>42411.69</v>
      </c>
      <c r="I151" s="105">
        <f t="shared" si="33"/>
        <v>42411.69</v>
      </c>
      <c r="J151" s="116">
        <f t="shared" si="32"/>
        <v>557799.31029042</v>
      </c>
      <c r="K151" s="150"/>
    </row>
    <row r="152" spans="1:11">
      <c r="A152" s="165">
        <v>43</v>
      </c>
      <c r="B152" s="170" t="s">
        <v>192</v>
      </c>
      <c r="C152" s="165"/>
      <c r="D152" s="167"/>
      <c r="E152" s="165" t="s">
        <v>95</v>
      </c>
      <c r="F152" s="168">
        <f>+F150-F151</f>
        <v>0.113982</v>
      </c>
      <c r="G152" s="177">
        <v>0</v>
      </c>
      <c r="H152" s="103">
        <v>42411.69</v>
      </c>
      <c r="I152" s="105">
        <f t="shared" si="33"/>
        <v>42411.69</v>
      </c>
      <c r="J152" s="116">
        <f t="shared" si="32"/>
        <v>4834.16924958</v>
      </c>
      <c r="K152" s="150"/>
    </row>
    <row r="153" spans="1:11">
      <c r="A153" s="165">
        <v>44</v>
      </c>
      <c r="B153" s="170" t="s">
        <v>174</v>
      </c>
      <c r="C153" s="165"/>
      <c r="D153" s="167"/>
      <c r="E153" s="165" t="s">
        <v>175</v>
      </c>
      <c r="F153" s="168">
        <f>+(0.3*4*0.15+0.4*4*0.2+0.4*4*0.1*2)*4</f>
        <v>3.28</v>
      </c>
      <c r="G153" s="115">
        <v>185524.004683841</v>
      </c>
      <c r="H153" s="103">
        <v>169000</v>
      </c>
      <c r="I153" s="105">
        <f t="shared" si="33"/>
        <v>354524.004683841</v>
      </c>
      <c r="J153" s="116">
        <f t="shared" si="32"/>
        <v>1162838.735363</v>
      </c>
      <c r="K153" s="150"/>
    </row>
    <row r="154" spans="1:11">
      <c r="A154" s="165">
        <v>45</v>
      </c>
      <c r="B154" s="170" t="s">
        <v>176</v>
      </c>
      <c r="C154" s="165"/>
      <c r="D154" s="167"/>
      <c r="E154" s="165" t="s">
        <v>95</v>
      </c>
      <c r="F154" s="168">
        <f>+(0.3*0.3*0.15+0.4*0.4*0.2+0.4*0.4*0.1*2)*4</f>
        <v>0.31</v>
      </c>
      <c r="G154" s="115">
        <v>2041000</v>
      </c>
      <c r="H154" s="103">
        <v>480000</v>
      </c>
      <c r="I154" s="105">
        <f t="shared" si="33"/>
        <v>2521000</v>
      </c>
      <c r="J154" s="116">
        <f t="shared" si="32"/>
        <v>781510</v>
      </c>
      <c r="K154" s="150"/>
    </row>
    <row r="155" spans="1:11">
      <c r="A155" s="165">
        <v>46</v>
      </c>
      <c r="B155" s="170" t="s">
        <v>193</v>
      </c>
      <c r="C155" s="165"/>
      <c r="D155" s="167"/>
      <c r="E155" s="165" t="s">
        <v>23</v>
      </c>
      <c r="F155" s="168">
        <v>12</v>
      </c>
      <c r="G155" s="177">
        <v>137492.6</v>
      </c>
      <c r="H155" s="177">
        <v>54000</v>
      </c>
      <c r="I155" s="105">
        <f t="shared" si="33"/>
        <v>191492.6</v>
      </c>
      <c r="J155" s="116">
        <f t="shared" si="32"/>
        <v>2297911.2</v>
      </c>
      <c r="K155" s="150"/>
    </row>
    <row r="156" spans="1:11">
      <c r="A156" s="165">
        <v>47</v>
      </c>
      <c r="B156" s="170" t="s">
        <v>194</v>
      </c>
      <c r="C156" s="165"/>
      <c r="D156" s="167"/>
      <c r="E156" s="165" t="s">
        <v>149</v>
      </c>
      <c r="F156" s="190">
        <v>5</v>
      </c>
      <c r="G156" s="191">
        <v>5272165</v>
      </c>
      <c r="H156" s="191">
        <v>501862</v>
      </c>
      <c r="I156" s="105">
        <f t="shared" si="33"/>
        <v>5774027</v>
      </c>
      <c r="J156" s="116">
        <f t="shared" si="32"/>
        <v>28870135</v>
      </c>
      <c r="K156" s="150"/>
    </row>
    <row r="157" spans="1:11">
      <c r="A157" s="165">
        <v>48</v>
      </c>
      <c r="B157" s="170" t="s">
        <v>195</v>
      </c>
      <c r="C157" s="165"/>
      <c r="D157" s="167"/>
      <c r="E157" s="165" t="s">
        <v>30</v>
      </c>
      <c r="F157" s="190">
        <v>10</v>
      </c>
      <c r="G157" s="192">
        <v>206062</v>
      </c>
      <c r="H157" s="192">
        <v>105649</v>
      </c>
      <c r="I157" s="105">
        <f t="shared" si="33"/>
        <v>311711</v>
      </c>
      <c r="J157" s="116">
        <f t="shared" si="32"/>
        <v>3117110</v>
      </c>
      <c r="K157" s="150"/>
    </row>
    <row r="158" spans="1:11">
      <c r="A158" s="165">
        <v>49</v>
      </c>
      <c r="B158" s="170" t="s">
        <v>196</v>
      </c>
      <c r="C158" s="165"/>
      <c r="D158" s="167"/>
      <c r="E158" s="165" t="s">
        <v>149</v>
      </c>
      <c r="F158" s="190">
        <v>5</v>
      </c>
      <c r="G158" s="191">
        <v>1651960</v>
      </c>
      <c r="H158" s="191">
        <v>142567</v>
      </c>
      <c r="I158" s="105">
        <f t="shared" si="33"/>
        <v>1794527</v>
      </c>
      <c r="J158" s="116">
        <f t="shared" si="32"/>
        <v>8972635</v>
      </c>
      <c r="K158" s="150"/>
    </row>
    <row r="159" spans="1:11">
      <c r="A159" s="165">
        <v>50</v>
      </c>
      <c r="B159" s="170" t="s">
        <v>197</v>
      </c>
      <c r="C159" s="165"/>
      <c r="D159" s="167"/>
      <c r="E159" s="165" t="s">
        <v>30</v>
      </c>
      <c r="F159" s="190">
        <v>10</v>
      </c>
      <c r="G159" s="191">
        <v>1709993</v>
      </c>
      <c r="H159" s="191">
        <v>189179</v>
      </c>
      <c r="I159" s="105">
        <f t="shared" si="33"/>
        <v>1899172</v>
      </c>
      <c r="J159" s="116">
        <f t="shared" si="32"/>
        <v>18991720</v>
      </c>
      <c r="K159" s="150"/>
    </row>
    <row r="160" ht="31" spans="1:11">
      <c r="A160" s="165">
        <v>51</v>
      </c>
      <c r="B160" s="166" t="s">
        <v>198</v>
      </c>
      <c r="C160" s="165"/>
      <c r="D160" s="167"/>
      <c r="E160" s="165" t="s">
        <v>149</v>
      </c>
      <c r="F160" s="190">
        <v>5</v>
      </c>
      <c r="G160" s="191">
        <v>10843500</v>
      </c>
      <c r="H160" s="191">
        <v>543475</v>
      </c>
      <c r="I160" s="105">
        <f t="shared" si="33"/>
        <v>11386975</v>
      </c>
      <c r="J160" s="116">
        <f t="shared" si="32"/>
        <v>56934875</v>
      </c>
      <c r="K160" s="150"/>
    </row>
    <row r="161" spans="1:11">
      <c r="A161" s="165">
        <v>52</v>
      </c>
      <c r="B161" s="170" t="s">
        <v>199</v>
      </c>
      <c r="C161" s="165"/>
      <c r="D161" s="167"/>
      <c r="E161" s="165" t="s">
        <v>149</v>
      </c>
      <c r="F161" s="168">
        <v>5</v>
      </c>
      <c r="G161" s="177">
        <v>371553</v>
      </c>
      <c r="H161" s="177">
        <v>71284</v>
      </c>
      <c r="I161" s="105">
        <f t="shared" si="33"/>
        <v>442837</v>
      </c>
      <c r="J161" s="116">
        <f t="shared" si="32"/>
        <v>2214185</v>
      </c>
      <c r="K161" s="150"/>
    </row>
    <row r="162" spans="1:11">
      <c r="A162" s="193"/>
      <c r="B162" s="194" t="s">
        <v>200</v>
      </c>
      <c r="C162" s="161"/>
      <c r="D162" s="163"/>
      <c r="E162" s="161"/>
      <c r="F162" s="169"/>
      <c r="G162" s="177">
        <v>0</v>
      </c>
      <c r="H162" s="177">
        <v>0</v>
      </c>
      <c r="I162" s="105">
        <f t="shared" si="33"/>
        <v>0</v>
      </c>
      <c r="J162" s="116"/>
      <c r="K162" s="150"/>
    </row>
    <row r="163" spans="1:11">
      <c r="A163" s="165">
        <v>53</v>
      </c>
      <c r="B163" s="170" t="s">
        <v>190</v>
      </c>
      <c r="C163" s="165">
        <f>0.6+0.65*0.5*2</f>
        <v>1.25</v>
      </c>
      <c r="D163" s="167"/>
      <c r="E163" s="165" t="s">
        <v>95</v>
      </c>
      <c r="F163" s="168">
        <f>+(2.2+0.8)*1.4/2*157+(1.56+0.6)*0.96/2*204+(1.52+0.56)*0.96/2*454+0.34*0.5*7+(1.25+0.6)*0.65/2*64+(1.25+0.56)*0.65/2*24+0.34*0.5*7</f>
        <v>1049.4588</v>
      </c>
      <c r="G163" s="103"/>
      <c r="H163" s="103">
        <v>40520</v>
      </c>
      <c r="I163" s="105">
        <f t="shared" si="33"/>
        <v>40520</v>
      </c>
      <c r="J163" s="116">
        <f t="shared" si="32"/>
        <v>42524070.576</v>
      </c>
      <c r="K163" s="150"/>
    </row>
    <row r="164" spans="1:11">
      <c r="A164" s="165">
        <v>54</v>
      </c>
      <c r="B164" s="170" t="s">
        <v>191</v>
      </c>
      <c r="C164" s="165"/>
      <c r="D164" s="167"/>
      <c r="E164" s="165" t="s">
        <v>95</v>
      </c>
      <c r="F164" s="168">
        <f>157*0.8*0.1+258*0.6*0.1+489*0.56*0.1</f>
        <v>55.424</v>
      </c>
      <c r="G164" s="115"/>
      <c r="H164" s="103">
        <v>42785</v>
      </c>
      <c r="I164" s="105">
        <f t="shared" si="33"/>
        <v>42785</v>
      </c>
      <c r="J164" s="116">
        <f t="shared" si="32"/>
        <v>2371315.84</v>
      </c>
      <c r="K164" s="150"/>
    </row>
    <row r="165" spans="1:11">
      <c r="A165" s="165">
        <v>55</v>
      </c>
      <c r="B165" s="170" t="s">
        <v>201</v>
      </c>
      <c r="C165" s="165"/>
      <c r="D165" s="167"/>
      <c r="E165" s="165" t="s">
        <v>95</v>
      </c>
      <c r="F165" s="168">
        <f>+((2.2+0.8)*1.3/2-3.14*0.2^2)*157+((1.56+0.6)*0.86/2-3.14*0.1^2)*204+((1.52+0.56)*0.86/2*454+(0.3*0.5-3.14*0.02^2)*14+((1.25+0.6)*0.55/2-3.14*0.1^2)*64+((1.25+0.56)*0.55/2-3.14*0.08^2)*24)</f>
        <v>919.654512</v>
      </c>
      <c r="G165" s="115">
        <v>455000</v>
      </c>
      <c r="H165" s="103">
        <v>44785.08</v>
      </c>
      <c r="I165" s="105">
        <f t="shared" si="33"/>
        <v>499785.08</v>
      </c>
      <c r="J165" s="116">
        <f t="shared" si="32"/>
        <v>459629603.852281</v>
      </c>
      <c r="K165" s="150"/>
    </row>
    <row r="166" spans="1:11">
      <c r="A166" s="165">
        <v>56</v>
      </c>
      <c r="B166" s="170" t="s">
        <v>192</v>
      </c>
      <c r="C166" s="165"/>
      <c r="D166" s="167"/>
      <c r="E166" s="165" t="s">
        <v>97</v>
      </c>
      <c r="F166" s="168">
        <f>+(F163-F164)/100</f>
        <v>9.940348</v>
      </c>
      <c r="G166" s="177">
        <v>0</v>
      </c>
      <c r="H166" s="177">
        <v>2079669</v>
      </c>
      <c r="I166" s="105">
        <f t="shared" si="33"/>
        <v>2079669</v>
      </c>
      <c r="J166" s="116">
        <f t="shared" si="32"/>
        <v>20672633.584812</v>
      </c>
      <c r="K166" s="150"/>
    </row>
    <row r="167" spans="1:11">
      <c r="A167" s="165">
        <v>57</v>
      </c>
      <c r="B167" s="195" t="s">
        <v>202</v>
      </c>
      <c r="C167" s="165"/>
      <c r="D167" s="167"/>
      <c r="E167" s="165" t="s">
        <v>95</v>
      </c>
      <c r="F167" s="168">
        <f>0.08*0.5*0.5*190</f>
        <v>3.8</v>
      </c>
      <c r="G167" s="115">
        <v>2041000</v>
      </c>
      <c r="H167" s="103">
        <v>480000</v>
      </c>
      <c r="I167" s="105">
        <f t="shared" si="33"/>
        <v>2521000</v>
      </c>
      <c r="J167" s="116">
        <f t="shared" si="32"/>
        <v>9579800</v>
      </c>
      <c r="K167" s="150"/>
    </row>
    <row r="168" spans="1:11">
      <c r="A168" s="165">
        <v>58</v>
      </c>
      <c r="B168" s="195" t="s">
        <v>203</v>
      </c>
      <c r="C168" s="165"/>
      <c r="D168" s="167"/>
      <c r="E168" s="165" t="s">
        <v>175</v>
      </c>
      <c r="F168" s="168">
        <f>0.5*4*0.08*190</f>
        <v>30.4</v>
      </c>
      <c r="G168" s="115">
        <v>185524.004683841</v>
      </c>
      <c r="H168" s="103">
        <v>169000</v>
      </c>
      <c r="I168" s="105">
        <f t="shared" si="33"/>
        <v>354524.004683841</v>
      </c>
      <c r="J168" s="116">
        <f t="shared" si="32"/>
        <v>10777529.7423888</v>
      </c>
      <c r="K168" s="150"/>
    </row>
    <row r="169" spans="1:11">
      <c r="A169" s="165">
        <v>59</v>
      </c>
      <c r="B169" s="195" t="s">
        <v>204</v>
      </c>
      <c r="C169" s="165"/>
      <c r="D169" s="167"/>
      <c r="E169" s="165" t="s">
        <v>205</v>
      </c>
      <c r="F169" s="168">
        <f>190*1.24/1000</f>
        <v>0.2356</v>
      </c>
      <c r="G169" s="105">
        <v>24262287</v>
      </c>
      <c r="H169" s="105">
        <v>8246829</v>
      </c>
      <c r="I169" s="105">
        <f t="shared" si="33"/>
        <v>32509116</v>
      </c>
      <c r="J169" s="116">
        <f t="shared" si="32"/>
        <v>7659147.7296</v>
      </c>
      <c r="K169" s="150"/>
    </row>
    <row r="170" ht="31" spans="1:11">
      <c r="A170" s="165">
        <v>60</v>
      </c>
      <c r="B170" s="195" t="s">
        <v>206</v>
      </c>
      <c r="C170" s="165"/>
      <c r="D170" s="167"/>
      <c r="E170" s="165" t="s">
        <v>207</v>
      </c>
      <c r="F170" s="168">
        <f>95/0.5</f>
        <v>190</v>
      </c>
      <c r="G170" s="177"/>
      <c r="H170" s="177">
        <v>120000</v>
      </c>
      <c r="I170" s="105">
        <f t="shared" si="33"/>
        <v>120000</v>
      </c>
      <c r="J170" s="116">
        <f t="shared" si="32"/>
        <v>22800000</v>
      </c>
      <c r="K170" s="150"/>
    </row>
    <row r="171" spans="1:11">
      <c r="A171" s="161"/>
      <c r="B171" s="171" t="s">
        <v>208</v>
      </c>
      <c r="C171" s="161"/>
      <c r="D171" s="163"/>
      <c r="E171" s="161"/>
      <c r="F171" s="169"/>
      <c r="G171" s="177">
        <v>0</v>
      </c>
      <c r="H171" s="177">
        <v>0</v>
      </c>
      <c r="I171" s="105">
        <f t="shared" si="33"/>
        <v>0</v>
      </c>
      <c r="J171" s="116"/>
      <c r="K171" s="150"/>
    </row>
    <row r="172" spans="1:11">
      <c r="A172" s="165">
        <v>61</v>
      </c>
      <c r="B172" s="170" t="s">
        <v>174</v>
      </c>
      <c r="C172" s="165"/>
      <c r="D172" s="167"/>
      <c r="E172" s="165" t="s">
        <v>107</v>
      </c>
      <c r="F172" s="168">
        <f>2*0.17</f>
        <v>0.34</v>
      </c>
      <c r="G172" s="115">
        <v>18552400.4683841</v>
      </c>
      <c r="H172" s="103">
        <v>16900000</v>
      </c>
      <c r="I172" s="105">
        <f t="shared" si="33"/>
        <v>35452400.4683841</v>
      </c>
      <c r="J172" s="116">
        <f t="shared" si="32"/>
        <v>12053816.1592506</v>
      </c>
      <c r="K172" s="150"/>
    </row>
    <row r="173" spans="1:11">
      <c r="A173" s="165">
        <v>62</v>
      </c>
      <c r="B173" s="170" t="s">
        <v>209</v>
      </c>
      <c r="C173" s="165"/>
      <c r="D173" s="167"/>
      <c r="E173" s="165" t="s">
        <v>95</v>
      </c>
      <c r="F173" s="168">
        <f>0.04*17</f>
        <v>0.68</v>
      </c>
      <c r="G173" s="115">
        <v>1781000</v>
      </c>
      <c r="H173" s="103">
        <v>480000</v>
      </c>
      <c r="I173" s="105">
        <f t="shared" si="33"/>
        <v>2261000</v>
      </c>
      <c r="J173" s="116">
        <f t="shared" si="32"/>
        <v>1537480</v>
      </c>
      <c r="K173" s="150"/>
    </row>
    <row r="174" spans="1:11">
      <c r="A174" s="165">
        <v>63</v>
      </c>
      <c r="B174" s="170" t="s">
        <v>176</v>
      </c>
      <c r="C174" s="165"/>
      <c r="D174" s="167"/>
      <c r="E174" s="165" t="s">
        <v>95</v>
      </c>
      <c r="F174" s="168">
        <f>0.051*17</f>
        <v>0.867</v>
      </c>
      <c r="G174" s="115">
        <v>2041000</v>
      </c>
      <c r="H174" s="103">
        <v>480000</v>
      </c>
      <c r="I174" s="105">
        <f t="shared" si="33"/>
        <v>2521000</v>
      </c>
      <c r="J174" s="116">
        <f t="shared" si="32"/>
        <v>2185707</v>
      </c>
      <c r="K174" s="150"/>
    </row>
    <row r="175" spans="1:11">
      <c r="A175" s="165">
        <v>64</v>
      </c>
      <c r="B175" s="170" t="s">
        <v>210</v>
      </c>
      <c r="C175" s="165"/>
      <c r="D175" s="167"/>
      <c r="E175" s="165" t="s">
        <v>149</v>
      </c>
      <c r="F175" s="168">
        <f>2*17</f>
        <v>34</v>
      </c>
      <c r="G175" s="177">
        <v>64697</v>
      </c>
      <c r="H175" s="177">
        <v>15000</v>
      </c>
      <c r="I175" s="105">
        <f t="shared" si="33"/>
        <v>79697</v>
      </c>
      <c r="J175" s="116">
        <f t="shared" si="32"/>
        <v>2709698</v>
      </c>
      <c r="K175" s="150"/>
    </row>
    <row r="176" spans="1:11">
      <c r="A176" s="165">
        <v>65</v>
      </c>
      <c r="B176" s="170" t="s">
        <v>211</v>
      </c>
      <c r="C176" s="165"/>
      <c r="D176" s="167"/>
      <c r="E176" s="165" t="s">
        <v>149</v>
      </c>
      <c r="F176" s="168">
        <f>17*4</f>
        <v>68</v>
      </c>
      <c r="G176" s="177">
        <v>171701</v>
      </c>
      <c r="H176" s="177">
        <v>20000</v>
      </c>
      <c r="I176" s="105">
        <f t="shared" si="33"/>
        <v>191701</v>
      </c>
      <c r="J176" s="116">
        <f t="shared" si="32"/>
        <v>13035668</v>
      </c>
      <c r="K176" s="150"/>
    </row>
    <row r="177" s="59" customFormat="1" spans="1:11">
      <c r="A177" s="196"/>
      <c r="B177" s="197" t="s">
        <v>212</v>
      </c>
      <c r="C177" s="198"/>
      <c r="D177" s="199"/>
      <c r="E177" s="196"/>
      <c r="F177" s="196"/>
      <c r="G177" s="196"/>
      <c r="H177" s="196"/>
      <c r="I177" s="196"/>
      <c r="J177" s="200">
        <f>SUM(J14:J176)</f>
        <v>17693332712.7073</v>
      </c>
      <c r="K177" s="196"/>
    </row>
    <row r="178" s="59" customFormat="1" spans="1:11">
      <c r="A178" s="196"/>
      <c r="B178" s="197" t="s">
        <v>213</v>
      </c>
      <c r="C178" s="198"/>
      <c r="D178" s="199"/>
      <c r="E178" s="196"/>
      <c r="F178" s="196"/>
      <c r="G178" s="196"/>
      <c r="H178" s="196"/>
      <c r="I178" s="196"/>
      <c r="J178" s="200">
        <f>+J177*0.08</f>
        <v>1415466617.01659</v>
      </c>
      <c r="K178" s="196"/>
    </row>
    <row r="179" s="59" customFormat="1" spans="1:11">
      <c r="A179" s="196"/>
      <c r="B179" s="197" t="s">
        <v>214</v>
      </c>
      <c r="C179" s="198"/>
      <c r="D179" s="199"/>
      <c r="E179" s="196"/>
      <c r="F179" s="196"/>
      <c r="G179" s="196"/>
      <c r="H179" s="196"/>
      <c r="I179" s="196"/>
      <c r="J179" s="200">
        <f>+J177+J178</f>
        <v>19108799329.7239</v>
      </c>
      <c r="K179" s="196"/>
    </row>
  </sheetData>
  <mergeCells count="15">
    <mergeCell ref="A4:K4"/>
    <mergeCell ref="A5:L5"/>
    <mergeCell ref="A6:K6"/>
    <mergeCell ref="A7:K7"/>
    <mergeCell ref="A8:K8"/>
    <mergeCell ref="G10:I10"/>
    <mergeCell ref="A10:A11"/>
    <mergeCell ref="B10:B11"/>
    <mergeCell ref="C10:C11"/>
    <mergeCell ref="D10:D11"/>
    <mergeCell ref="E10:E11"/>
    <mergeCell ref="F10:F11"/>
    <mergeCell ref="J10:J11"/>
    <mergeCell ref="K10:K11"/>
    <mergeCell ref="A1:K3"/>
  </mergeCells>
  <pageMargins left="0.7" right="0.7" top="0.75" bottom="0.75" header="0.3" footer="0.3"/>
  <pageSetup paperSize="9" scale="43" fitToHeight="0"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4"/>
  <sheetViews>
    <sheetView zoomScale="70" zoomScaleNormal="70" workbookViewId="0">
      <selection activeCell="B24" sqref="B24"/>
    </sheetView>
  </sheetViews>
  <sheetFormatPr defaultColWidth="8.89090909090909" defaultRowHeight="14" outlineLevelCol="6"/>
  <cols>
    <col min="1" max="1" width="14.1090909090909" style="1" customWidth="1"/>
    <col min="2" max="2" width="73" style="2" customWidth="1"/>
    <col min="3" max="4" width="26.1090909090909" style="3" customWidth="1"/>
    <col min="5" max="5" width="11" style="1" customWidth="1"/>
    <col min="6" max="6" width="15.3363636363636" style="1" customWidth="1"/>
    <col min="7" max="7" width="38.3363636363636" style="4" customWidth="1"/>
    <col min="8" max="16384" width="8.89090909090909" style="1"/>
  </cols>
  <sheetData>
    <row r="1" ht="25" spans="1:7">
      <c r="A1" s="5" t="s">
        <v>215</v>
      </c>
      <c r="B1" s="5"/>
      <c r="C1" s="5"/>
      <c r="D1" s="5"/>
      <c r="E1" s="5"/>
      <c r="F1" s="5"/>
      <c r="G1" s="5"/>
    </row>
    <row r="2" ht="28" spans="1:7">
      <c r="A2" s="6" t="s">
        <v>216</v>
      </c>
      <c r="B2" s="7" t="s">
        <v>217</v>
      </c>
      <c r="C2" s="7" t="s">
        <v>218</v>
      </c>
      <c r="D2" s="7" t="s">
        <v>219</v>
      </c>
      <c r="E2" s="8" t="s">
        <v>220</v>
      </c>
      <c r="F2" s="9" t="s">
        <v>221</v>
      </c>
      <c r="G2" s="10" t="s">
        <v>222</v>
      </c>
    </row>
    <row r="3" spans="1:7">
      <c r="A3" s="11" t="s">
        <v>17</v>
      </c>
      <c r="B3" s="12" t="s">
        <v>223</v>
      </c>
      <c r="C3" s="13"/>
      <c r="D3" s="13"/>
      <c r="E3" s="14"/>
      <c r="F3" s="15"/>
      <c r="G3" s="16"/>
    </row>
    <row r="4" spans="1:7">
      <c r="A4" s="17" t="s">
        <v>19</v>
      </c>
      <c r="B4" s="18" t="s">
        <v>224</v>
      </c>
      <c r="C4" s="17"/>
      <c r="D4" s="17"/>
      <c r="E4" s="17"/>
      <c r="F4" s="17"/>
      <c r="G4" s="19" t="s">
        <v>225</v>
      </c>
    </row>
    <row r="5" spans="1:7">
      <c r="A5" s="17">
        <v>1</v>
      </c>
      <c r="B5" s="18" t="s">
        <v>226</v>
      </c>
      <c r="C5" s="17"/>
      <c r="D5" s="17"/>
      <c r="E5" s="17" t="s">
        <v>52</v>
      </c>
      <c r="F5" s="17">
        <v>1</v>
      </c>
      <c r="G5" s="19"/>
    </row>
    <row r="6" spans="1:7">
      <c r="A6" s="20"/>
      <c r="B6" s="21" t="s">
        <v>227</v>
      </c>
      <c r="C6" s="22"/>
      <c r="D6" s="22"/>
      <c r="E6" s="23"/>
      <c r="F6" s="20"/>
      <c r="G6" s="24"/>
    </row>
    <row r="7" spans="1:7">
      <c r="A7" s="20"/>
      <c r="B7" s="25" t="s">
        <v>228</v>
      </c>
      <c r="C7" s="26"/>
      <c r="D7" s="26" t="s">
        <v>229</v>
      </c>
      <c r="E7" s="27" t="s">
        <v>230</v>
      </c>
      <c r="F7" s="28">
        <v>6</v>
      </c>
      <c r="G7" s="24"/>
    </row>
    <row r="8" spans="1:7">
      <c r="A8" s="20"/>
      <c r="B8" s="29" t="s">
        <v>231</v>
      </c>
      <c r="C8" s="30"/>
      <c r="D8" s="30" t="s">
        <v>232</v>
      </c>
      <c r="E8" s="27" t="s">
        <v>42</v>
      </c>
      <c r="F8" s="28">
        <v>1</v>
      </c>
      <c r="G8" s="24"/>
    </row>
    <row r="9" spans="1:7">
      <c r="A9" s="20"/>
      <c r="B9" s="29" t="s">
        <v>233</v>
      </c>
      <c r="C9" s="30"/>
      <c r="D9" s="30" t="s">
        <v>234</v>
      </c>
      <c r="E9" s="27" t="s">
        <v>42</v>
      </c>
      <c r="F9" s="28">
        <v>1</v>
      </c>
      <c r="G9" s="24" t="s">
        <v>235</v>
      </c>
    </row>
    <row r="10" spans="1:7">
      <c r="A10" s="20"/>
      <c r="B10" s="29" t="s">
        <v>236</v>
      </c>
      <c r="C10" s="30"/>
      <c r="D10" s="30" t="s">
        <v>234</v>
      </c>
      <c r="E10" s="27" t="s">
        <v>42</v>
      </c>
      <c r="F10" s="28">
        <v>1</v>
      </c>
      <c r="G10" s="24" t="s">
        <v>235</v>
      </c>
    </row>
    <row r="11" ht="42" spans="1:7">
      <c r="A11" s="20"/>
      <c r="B11" s="31" t="s">
        <v>237</v>
      </c>
      <c r="C11" s="32"/>
      <c r="D11" s="32"/>
      <c r="E11" s="27" t="s">
        <v>230</v>
      </c>
      <c r="F11" s="20">
        <v>1</v>
      </c>
      <c r="G11" s="32" t="s">
        <v>238</v>
      </c>
    </row>
    <row r="12" spans="1:7">
      <c r="A12" s="20"/>
      <c r="B12" s="33" t="s">
        <v>239</v>
      </c>
      <c r="C12" s="34"/>
      <c r="D12" s="34"/>
      <c r="E12" s="35" t="s">
        <v>45</v>
      </c>
      <c r="F12" s="26">
        <v>1</v>
      </c>
      <c r="G12" s="24"/>
    </row>
    <row r="13" spans="1:7">
      <c r="A13" s="17">
        <v>2</v>
      </c>
      <c r="B13" s="18" t="s">
        <v>240</v>
      </c>
      <c r="C13" s="17"/>
      <c r="D13" s="17"/>
      <c r="E13" s="17" t="s">
        <v>52</v>
      </c>
      <c r="F13" s="17">
        <v>1</v>
      </c>
      <c r="G13" s="19"/>
    </row>
    <row r="14" spans="1:7">
      <c r="A14" s="20"/>
      <c r="B14" s="21" t="s">
        <v>227</v>
      </c>
      <c r="C14" s="22"/>
      <c r="D14" s="22"/>
      <c r="E14" s="23"/>
      <c r="F14" s="20"/>
      <c r="G14" s="24"/>
    </row>
    <row r="15" spans="1:7">
      <c r="A15" s="20"/>
      <c r="B15" s="25" t="s">
        <v>241</v>
      </c>
      <c r="C15" s="26" t="s">
        <v>242</v>
      </c>
      <c r="D15" s="26" t="s">
        <v>232</v>
      </c>
      <c r="E15" s="27" t="s">
        <v>230</v>
      </c>
      <c r="F15" s="28">
        <v>1</v>
      </c>
      <c r="G15" s="24"/>
    </row>
    <row r="16" spans="1:7">
      <c r="A16" s="20"/>
      <c r="B16" s="25" t="s">
        <v>228</v>
      </c>
      <c r="C16" s="26"/>
      <c r="D16" s="26" t="s">
        <v>229</v>
      </c>
      <c r="E16" s="27" t="s">
        <v>230</v>
      </c>
      <c r="F16" s="28">
        <v>6</v>
      </c>
      <c r="G16" s="24"/>
    </row>
    <row r="17" spans="1:7">
      <c r="A17" s="20"/>
      <c r="B17" s="29" t="s">
        <v>231</v>
      </c>
      <c r="C17" s="30"/>
      <c r="D17" s="30" t="s">
        <v>232</v>
      </c>
      <c r="E17" s="27" t="s">
        <v>42</v>
      </c>
      <c r="F17" s="28">
        <v>1</v>
      </c>
      <c r="G17" s="24"/>
    </row>
    <row r="18" spans="1:7">
      <c r="A18" s="20"/>
      <c r="B18" s="29" t="s">
        <v>243</v>
      </c>
      <c r="C18" s="30"/>
      <c r="D18" s="30" t="s">
        <v>244</v>
      </c>
      <c r="E18" s="27" t="s">
        <v>42</v>
      </c>
      <c r="F18" s="28">
        <v>1</v>
      </c>
      <c r="G18" s="24"/>
    </row>
    <row r="19" spans="1:7">
      <c r="A19" s="20"/>
      <c r="B19" s="29" t="s">
        <v>245</v>
      </c>
      <c r="C19" s="30" t="s">
        <v>246</v>
      </c>
      <c r="D19" s="30" t="s">
        <v>234</v>
      </c>
      <c r="E19" s="27" t="s">
        <v>230</v>
      </c>
      <c r="F19" s="28">
        <v>1</v>
      </c>
      <c r="G19" s="24"/>
    </row>
    <row r="20" spans="1:7">
      <c r="A20" s="20"/>
      <c r="B20" s="21" t="s">
        <v>247</v>
      </c>
      <c r="C20" s="22"/>
      <c r="D20" s="22"/>
      <c r="E20" s="23"/>
      <c r="F20" s="20"/>
      <c r="G20" s="24"/>
    </row>
    <row r="21" spans="1:7">
      <c r="A21" s="20"/>
      <c r="B21" s="25" t="s">
        <v>248</v>
      </c>
      <c r="C21" s="26" t="s">
        <v>249</v>
      </c>
      <c r="D21" s="26" t="s">
        <v>232</v>
      </c>
      <c r="E21" s="27" t="s">
        <v>230</v>
      </c>
      <c r="F21" s="28">
        <v>1</v>
      </c>
      <c r="G21" s="24"/>
    </row>
    <row r="22" spans="1:7">
      <c r="A22" s="20"/>
      <c r="B22" s="25" t="s">
        <v>250</v>
      </c>
      <c r="C22" s="26" t="s">
        <v>251</v>
      </c>
      <c r="D22" s="26" t="s">
        <v>232</v>
      </c>
      <c r="E22" s="27" t="s">
        <v>230</v>
      </c>
      <c r="F22" s="28">
        <v>1</v>
      </c>
      <c r="G22" s="24"/>
    </row>
    <row r="23" spans="1:7">
      <c r="A23" s="20"/>
      <c r="B23" s="25" t="s">
        <v>252</v>
      </c>
      <c r="C23" s="26" t="s">
        <v>253</v>
      </c>
      <c r="D23" s="26" t="s">
        <v>232</v>
      </c>
      <c r="E23" s="27" t="s">
        <v>230</v>
      </c>
      <c r="F23" s="28">
        <v>1</v>
      </c>
      <c r="G23" s="24"/>
    </row>
    <row r="24" spans="1:7">
      <c r="A24" s="20"/>
      <c r="B24" s="25" t="s">
        <v>254</v>
      </c>
      <c r="C24" s="26" t="s">
        <v>255</v>
      </c>
      <c r="D24" s="26" t="s">
        <v>232</v>
      </c>
      <c r="E24" s="27" t="s">
        <v>230</v>
      </c>
      <c r="F24" s="28">
        <v>1</v>
      </c>
      <c r="G24" s="24"/>
    </row>
    <row r="25" spans="1:7">
      <c r="A25" s="20"/>
      <c r="B25" s="29" t="s">
        <v>256</v>
      </c>
      <c r="C25" s="30" t="s">
        <v>257</v>
      </c>
      <c r="D25" s="30" t="s">
        <v>258</v>
      </c>
      <c r="E25" s="27" t="s">
        <v>230</v>
      </c>
      <c r="F25" s="28">
        <v>1</v>
      </c>
      <c r="G25" s="24"/>
    </row>
    <row r="26" spans="1:7">
      <c r="A26" s="20"/>
      <c r="B26" s="25" t="s">
        <v>259</v>
      </c>
      <c r="C26" s="26"/>
      <c r="D26" s="26"/>
      <c r="E26" s="27" t="s">
        <v>230</v>
      </c>
      <c r="F26" s="28">
        <v>1</v>
      </c>
      <c r="G26" s="24"/>
    </row>
    <row r="27" ht="42" spans="1:7">
      <c r="A27" s="20"/>
      <c r="B27" s="31" t="s">
        <v>260</v>
      </c>
      <c r="C27" s="32"/>
      <c r="D27" s="32"/>
      <c r="E27" s="27" t="s">
        <v>230</v>
      </c>
      <c r="F27" s="20">
        <v>1</v>
      </c>
      <c r="G27" s="32" t="s">
        <v>238</v>
      </c>
    </row>
    <row r="28" spans="1:7">
      <c r="A28" s="20"/>
      <c r="B28" s="33" t="s">
        <v>239</v>
      </c>
      <c r="C28" s="34"/>
      <c r="D28" s="34"/>
      <c r="E28" s="35" t="s">
        <v>45</v>
      </c>
      <c r="F28" s="26">
        <v>1</v>
      </c>
      <c r="G28" s="24"/>
    </row>
    <row r="29" spans="1:7">
      <c r="A29" s="17">
        <v>3</v>
      </c>
      <c r="B29" s="18" t="s">
        <v>261</v>
      </c>
      <c r="C29" s="17"/>
      <c r="D29" s="17"/>
      <c r="E29" s="17" t="s">
        <v>52</v>
      </c>
      <c r="F29" s="17">
        <v>1</v>
      </c>
      <c r="G29" s="19"/>
    </row>
    <row r="30" spans="1:7">
      <c r="A30" s="20"/>
      <c r="B30" s="21" t="s">
        <v>247</v>
      </c>
      <c r="C30" s="22"/>
      <c r="D30" s="22"/>
      <c r="E30" s="23"/>
      <c r="F30" s="20"/>
      <c r="G30" s="24"/>
    </row>
    <row r="31" spans="1:7">
      <c r="A31" s="20"/>
      <c r="B31" s="31" t="s">
        <v>262</v>
      </c>
      <c r="C31" s="32" t="s">
        <v>263</v>
      </c>
      <c r="D31" s="26" t="s">
        <v>232</v>
      </c>
      <c r="E31" s="27" t="s">
        <v>230</v>
      </c>
      <c r="F31" s="28">
        <v>1</v>
      </c>
      <c r="G31" s="24"/>
    </row>
    <row r="32" spans="1:7">
      <c r="A32" s="20"/>
      <c r="B32" s="31" t="s">
        <v>264</v>
      </c>
      <c r="C32" s="32" t="s">
        <v>265</v>
      </c>
      <c r="D32" s="26" t="s">
        <v>232</v>
      </c>
      <c r="E32" s="27" t="s">
        <v>230</v>
      </c>
      <c r="F32" s="28">
        <v>10</v>
      </c>
      <c r="G32" s="24"/>
    </row>
    <row r="33" spans="1:7">
      <c r="A33" s="20"/>
      <c r="B33" s="31" t="s">
        <v>266</v>
      </c>
      <c r="C33" s="32" t="s">
        <v>267</v>
      </c>
      <c r="D33" s="26" t="s">
        <v>232</v>
      </c>
      <c r="E33" s="27" t="s">
        <v>230</v>
      </c>
      <c r="F33" s="28">
        <v>10</v>
      </c>
      <c r="G33" s="24"/>
    </row>
    <row r="34" ht="15.5" spans="1:7">
      <c r="A34" s="20"/>
      <c r="B34" s="31" t="s">
        <v>268</v>
      </c>
      <c r="C34" s="36" t="s">
        <v>269</v>
      </c>
      <c r="D34" s="36" t="s">
        <v>258</v>
      </c>
      <c r="E34" s="27" t="s">
        <v>230</v>
      </c>
      <c r="F34" s="28">
        <v>10</v>
      </c>
      <c r="G34" s="24"/>
    </row>
    <row r="35" spans="1:7">
      <c r="A35" s="20"/>
      <c r="B35" s="31" t="s">
        <v>270</v>
      </c>
      <c r="C35" s="32"/>
      <c r="D35" s="26" t="s">
        <v>229</v>
      </c>
      <c r="E35" s="27" t="s">
        <v>230</v>
      </c>
      <c r="F35" s="28">
        <v>3</v>
      </c>
      <c r="G35" s="24"/>
    </row>
    <row r="36" spans="1:7">
      <c r="A36" s="20"/>
      <c r="B36" s="31" t="s">
        <v>271</v>
      </c>
      <c r="C36" s="32"/>
      <c r="D36" s="32" t="s">
        <v>272</v>
      </c>
      <c r="E36" s="27" t="s">
        <v>230</v>
      </c>
      <c r="F36" s="28">
        <v>1</v>
      </c>
      <c r="G36" s="24"/>
    </row>
    <row r="37" ht="42" spans="1:7">
      <c r="A37" s="20"/>
      <c r="B37" s="31" t="s">
        <v>273</v>
      </c>
      <c r="C37" s="32"/>
      <c r="D37" s="32"/>
      <c r="E37" s="27" t="s">
        <v>230</v>
      </c>
      <c r="F37" s="20">
        <v>1</v>
      </c>
      <c r="G37" s="32" t="s">
        <v>238</v>
      </c>
    </row>
    <row r="38" spans="1:7">
      <c r="A38" s="20"/>
      <c r="B38" s="31" t="s">
        <v>274</v>
      </c>
      <c r="C38" s="32"/>
      <c r="D38" s="32"/>
      <c r="E38" s="27" t="s">
        <v>45</v>
      </c>
      <c r="F38" s="20">
        <v>1</v>
      </c>
      <c r="G38" s="32"/>
    </row>
    <row r="39" spans="1:7">
      <c r="A39" s="20"/>
      <c r="B39" s="33" t="s">
        <v>239</v>
      </c>
      <c r="C39" s="32"/>
      <c r="D39" s="32"/>
      <c r="E39" s="35" t="s">
        <v>45</v>
      </c>
      <c r="F39" s="26">
        <v>1</v>
      </c>
      <c r="G39" s="24"/>
    </row>
    <row r="40" hidden="1" spans="1:7">
      <c r="A40" s="37"/>
      <c r="B40" s="25"/>
      <c r="C40" s="34"/>
      <c r="D40" s="34"/>
      <c r="E40" s="37"/>
      <c r="F40" s="37"/>
      <c r="G40" s="38"/>
    </row>
    <row r="41" spans="1:7">
      <c r="A41" s="17" t="s">
        <v>46</v>
      </c>
      <c r="B41" s="18" t="s">
        <v>275</v>
      </c>
      <c r="C41" s="17"/>
      <c r="D41" s="17"/>
      <c r="E41" s="17"/>
      <c r="F41" s="17"/>
      <c r="G41" s="19"/>
    </row>
    <row r="42" spans="1:7">
      <c r="A42" s="17">
        <v>1</v>
      </c>
      <c r="B42" s="18" t="s">
        <v>226</v>
      </c>
      <c r="C42" s="17"/>
      <c r="D42" s="17"/>
      <c r="E42" s="17" t="s">
        <v>52</v>
      </c>
      <c r="F42" s="17">
        <v>1</v>
      </c>
      <c r="G42" s="19" t="s">
        <v>225</v>
      </c>
    </row>
    <row r="43" spans="1:7">
      <c r="A43" s="20"/>
      <c r="B43" s="21" t="s">
        <v>227</v>
      </c>
      <c r="C43" s="22"/>
      <c r="D43" s="22"/>
      <c r="E43" s="23"/>
      <c r="F43" s="20"/>
      <c r="G43" s="24"/>
    </row>
    <row r="44" spans="1:7">
      <c r="A44" s="20"/>
      <c r="B44" s="25" t="s">
        <v>228</v>
      </c>
      <c r="C44" s="26"/>
      <c r="D44" s="26" t="s">
        <v>229</v>
      </c>
      <c r="E44" s="27" t="s">
        <v>230</v>
      </c>
      <c r="F44" s="28">
        <v>6</v>
      </c>
      <c r="G44" s="24"/>
    </row>
    <row r="45" spans="1:7">
      <c r="A45" s="20"/>
      <c r="B45" s="29" t="s">
        <v>231</v>
      </c>
      <c r="C45" s="30"/>
      <c r="D45" s="30" t="s">
        <v>232</v>
      </c>
      <c r="E45" s="27" t="s">
        <v>42</v>
      </c>
      <c r="F45" s="28">
        <v>1</v>
      </c>
      <c r="G45" s="24"/>
    </row>
    <row r="46" spans="1:7">
      <c r="A46" s="20"/>
      <c r="B46" s="29" t="s">
        <v>233</v>
      </c>
      <c r="C46" s="30"/>
      <c r="D46" s="30" t="s">
        <v>234</v>
      </c>
      <c r="E46" s="27" t="s">
        <v>42</v>
      </c>
      <c r="F46" s="28">
        <v>1</v>
      </c>
      <c r="G46" s="24" t="s">
        <v>235</v>
      </c>
    </row>
    <row r="47" spans="1:7">
      <c r="A47" s="20"/>
      <c r="B47" s="29" t="s">
        <v>236</v>
      </c>
      <c r="C47" s="30"/>
      <c r="D47" s="30" t="s">
        <v>234</v>
      </c>
      <c r="E47" s="27" t="s">
        <v>42</v>
      </c>
      <c r="F47" s="28">
        <v>1</v>
      </c>
      <c r="G47" s="24" t="s">
        <v>235</v>
      </c>
    </row>
    <row r="48" ht="42" spans="1:7">
      <c r="A48" s="20"/>
      <c r="B48" s="31" t="s">
        <v>276</v>
      </c>
      <c r="C48" s="32"/>
      <c r="D48" s="32"/>
      <c r="E48" s="27" t="s">
        <v>230</v>
      </c>
      <c r="F48" s="20">
        <v>1</v>
      </c>
      <c r="G48" s="32" t="s">
        <v>238</v>
      </c>
    </row>
    <row r="49" spans="1:7">
      <c r="A49" s="20"/>
      <c r="B49" s="33" t="s">
        <v>239</v>
      </c>
      <c r="C49" s="34"/>
      <c r="D49" s="34"/>
      <c r="E49" s="35" t="s">
        <v>45</v>
      </c>
      <c r="F49" s="26">
        <v>1</v>
      </c>
      <c r="G49" s="24"/>
    </row>
    <row r="50" spans="1:7">
      <c r="A50" s="17">
        <v>2</v>
      </c>
      <c r="B50" s="18" t="s">
        <v>240</v>
      </c>
      <c r="C50" s="17"/>
      <c r="D50" s="17"/>
      <c r="E50" s="17" t="s">
        <v>52</v>
      </c>
      <c r="F50" s="17">
        <v>1</v>
      </c>
      <c r="G50" s="19" t="s">
        <v>225</v>
      </c>
    </row>
    <row r="51" spans="1:7">
      <c r="A51" s="20"/>
      <c r="B51" s="21" t="s">
        <v>227</v>
      </c>
      <c r="C51" s="22"/>
      <c r="D51" s="22"/>
      <c r="E51" s="23"/>
      <c r="F51" s="20"/>
      <c r="G51" s="24"/>
    </row>
    <row r="52" spans="1:7">
      <c r="A52" s="20"/>
      <c r="B52" s="25" t="s">
        <v>241</v>
      </c>
      <c r="C52" s="26" t="s">
        <v>242</v>
      </c>
      <c r="D52" s="26" t="s">
        <v>232</v>
      </c>
      <c r="E52" s="27" t="s">
        <v>230</v>
      </c>
      <c r="F52" s="28">
        <v>1</v>
      </c>
      <c r="G52" s="24"/>
    </row>
    <row r="53" spans="1:7">
      <c r="A53" s="20"/>
      <c r="B53" s="25" t="s">
        <v>228</v>
      </c>
      <c r="C53" s="26"/>
      <c r="D53" s="26" t="s">
        <v>229</v>
      </c>
      <c r="E53" s="27" t="s">
        <v>230</v>
      </c>
      <c r="F53" s="28">
        <v>6</v>
      </c>
      <c r="G53" s="24"/>
    </row>
    <row r="54" spans="1:7">
      <c r="A54" s="20"/>
      <c r="B54" s="29" t="s">
        <v>231</v>
      </c>
      <c r="C54" s="30"/>
      <c r="D54" s="30" t="s">
        <v>232</v>
      </c>
      <c r="E54" s="27" t="s">
        <v>42</v>
      </c>
      <c r="F54" s="28">
        <v>1</v>
      </c>
      <c r="G54" s="24"/>
    </row>
    <row r="55" spans="1:7">
      <c r="A55" s="20"/>
      <c r="B55" s="29" t="s">
        <v>243</v>
      </c>
      <c r="C55" s="30"/>
      <c r="D55" s="30" t="s">
        <v>244</v>
      </c>
      <c r="E55" s="27" t="s">
        <v>42</v>
      </c>
      <c r="F55" s="28">
        <v>1</v>
      </c>
      <c r="G55" s="24"/>
    </row>
    <row r="56" spans="1:7">
      <c r="A56" s="20"/>
      <c r="B56" s="29" t="s">
        <v>245</v>
      </c>
      <c r="C56" s="30" t="s">
        <v>246</v>
      </c>
      <c r="D56" s="30" t="s">
        <v>234</v>
      </c>
      <c r="E56" s="27" t="s">
        <v>230</v>
      </c>
      <c r="F56" s="28">
        <v>1</v>
      </c>
      <c r="G56" s="24"/>
    </row>
    <row r="57" spans="1:7">
      <c r="A57" s="20"/>
      <c r="B57" s="21" t="s">
        <v>247</v>
      </c>
      <c r="C57" s="22"/>
      <c r="D57" s="22"/>
      <c r="E57" s="23"/>
      <c r="F57" s="20"/>
      <c r="G57" s="24"/>
    </row>
    <row r="58" spans="1:7">
      <c r="A58" s="20"/>
      <c r="B58" s="25" t="s">
        <v>248</v>
      </c>
      <c r="C58" s="26" t="s">
        <v>249</v>
      </c>
      <c r="D58" s="26" t="s">
        <v>232</v>
      </c>
      <c r="E58" s="27" t="s">
        <v>230</v>
      </c>
      <c r="F58" s="28">
        <v>1</v>
      </c>
      <c r="G58" s="24"/>
    </row>
    <row r="59" spans="1:7">
      <c r="A59" s="20"/>
      <c r="B59" s="25" t="s">
        <v>250</v>
      </c>
      <c r="C59" s="26" t="s">
        <v>251</v>
      </c>
      <c r="D59" s="26" t="s">
        <v>232</v>
      </c>
      <c r="E59" s="27" t="s">
        <v>230</v>
      </c>
      <c r="F59" s="28">
        <v>1</v>
      </c>
      <c r="G59" s="24"/>
    </row>
    <row r="60" spans="1:7">
      <c r="A60" s="20"/>
      <c r="B60" s="25" t="s">
        <v>252</v>
      </c>
      <c r="C60" s="26" t="s">
        <v>253</v>
      </c>
      <c r="D60" s="26" t="s">
        <v>232</v>
      </c>
      <c r="E60" s="27" t="s">
        <v>230</v>
      </c>
      <c r="F60" s="28">
        <v>1</v>
      </c>
      <c r="G60" s="24"/>
    </row>
    <row r="61" spans="1:7">
      <c r="A61" s="20"/>
      <c r="B61" s="25" t="s">
        <v>254</v>
      </c>
      <c r="C61" s="26" t="s">
        <v>255</v>
      </c>
      <c r="D61" s="26" t="s">
        <v>232</v>
      </c>
      <c r="E61" s="27" t="s">
        <v>230</v>
      </c>
      <c r="F61" s="28">
        <v>1</v>
      </c>
      <c r="G61" s="24"/>
    </row>
    <row r="62" spans="1:7">
      <c r="A62" s="20"/>
      <c r="B62" s="29" t="s">
        <v>256</v>
      </c>
      <c r="C62" s="30" t="s">
        <v>257</v>
      </c>
      <c r="D62" s="30" t="s">
        <v>258</v>
      </c>
      <c r="E62" s="27" t="s">
        <v>230</v>
      </c>
      <c r="F62" s="28">
        <v>1</v>
      </c>
      <c r="G62" s="24"/>
    </row>
    <row r="63" spans="1:7">
      <c r="A63" s="20"/>
      <c r="B63" s="25" t="s">
        <v>259</v>
      </c>
      <c r="C63" s="26"/>
      <c r="D63" s="26"/>
      <c r="E63" s="27" t="s">
        <v>230</v>
      </c>
      <c r="F63" s="28">
        <v>1</v>
      </c>
      <c r="G63" s="24"/>
    </row>
    <row r="64" ht="42" spans="1:7">
      <c r="A64" s="20"/>
      <c r="B64" s="31" t="s">
        <v>276</v>
      </c>
      <c r="C64" s="32"/>
      <c r="D64" s="32"/>
      <c r="E64" s="27" t="s">
        <v>230</v>
      </c>
      <c r="F64" s="20">
        <v>1</v>
      </c>
      <c r="G64" s="32" t="s">
        <v>238</v>
      </c>
    </row>
    <row r="65" spans="1:7">
      <c r="A65" s="20"/>
      <c r="B65" s="33" t="s">
        <v>239</v>
      </c>
      <c r="C65" s="34"/>
      <c r="D65" s="34"/>
      <c r="E65" s="35" t="s">
        <v>45</v>
      </c>
      <c r="F65" s="26">
        <v>1</v>
      </c>
      <c r="G65" s="24"/>
    </row>
    <row r="66" spans="1:7">
      <c r="A66" s="17">
        <v>3</v>
      </c>
      <c r="B66" s="18" t="s">
        <v>261</v>
      </c>
      <c r="C66" s="17"/>
      <c r="D66" s="17"/>
      <c r="E66" s="17" t="s">
        <v>52</v>
      </c>
      <c r="F66" s="17">
        <v>1</v>
      </c>
      <c r="G66" s="19" t="s">
        <v>225</v>
      </c>
    </row>
    <row r="67" spans="1:7">
      <c r="A67" s="20"/>
      <c r="B67" s="21" t="s">
        <v>247</v>
      </c>
      <c r="C67" s="22"/>
      <c r="D67" s="22"/>
      <c r="E67" s="23"/>
      <c r="F67" s="20"/>
      <c r="G67" s="24"/>
    </row>
    <row r="68" spans="1:7">
      <c r="A68" s="20"/>
      <c r="B68" s="31" t="s">
        <v>262</v>
      </c>
      <c r="C68" s="32" t="s">
        <v>263</v>
      </c>
      <c r="D68" s="26" t="s">
        <v>232</v>
      </c>
      <c r="E68" s="27" t="s">
        <v>230</v>
      </c>
      <c r="F68" s="28">
        <v>1</v>
      </c>
      <c r="G68" s="24"/>
    </row>
    <row r="69" spans="1:7">
      <c r="A69" s="20"/>
      <c r="B69" s="31" t="s">
        <v>264</v>
      </c>
      <c r="C69" s="32" t="s">
        <v>265</v>
      </c>
      <c r="D69" s="26" t="s">
        <v>232</v>
      </c>
      <c r="E69" s="27" t="s">
        <v>230</v>
      </c>
      <c r="F69" s="28">
        <v>9</v>
      </c>
      <c r="G69" s="24"/>
    </row>
    <row r="70" spans="1:7">
      <c r="A70" s="20"/>
      <c r="B70" s="31" t="s">
        <v>266</v>
      </c>
      <c r="C70" s="32" t="s">
        <v>267</v>
      </c>
      <c r="D70" s="26" t="s">
        <v>232</v>
      </c>
      <c r="E70" s="27" t="s">
        <v>230</v>
      </c>
      <c r="F70" s="28">
        <v>9</v>
      </c>
      <c r="G70" s="24"/>
    </row>
    <row r="71" ht="15.5" spans="1:7">
      <c r="A71" s="20"/>
      <c r="B71" s="31" t="s">
        <v>268</v>
      </c>
      <c r="C71" s="36" t="s">
        <v>269</v>
      </c>
      <c r="D71" s="36" t="s">
        <v>258</v>
      </c>
      <c r="E71" s="27" t="s">
        <v>230</v>
      </c>
      <c r="F71" s="28">
        <v>9</v>
      </c>
      <c r="G71" s="24"/>
    </row>
    <row r="72" spans="1:7">
      <c r="A72" s="20"/>
      <c r="B72" s="31" t="s">
        <v>270</v>
      </c>
      <c r="C72" s="32"/>
      <c r="D72" s="26" t="s">
        <v>229</v>
      </c>
      <c r="E72" s="27" t="s">
        <v>230</v>
      </c>
      <c r="F72" s="28">
        <v>3</v>
      </c>
      <c r="G72" s="24"/>
    </row>
    <row r="73" spans="1:7">
      <c r="A73" s="20"/>
      <c r="B73" s="31" t="s">
        <v>271</v>
      </c>
      <c r="C73" s="32"/>
      <c r="D73" s="32" t="s">
        <v>272</v>
      </c>
      <c r="E73" s="27" t="s">
        <v>230</v>
      </c>
      <c r="F73" s="28">
        <v>1</v>
      </c>
      <c r="G73" s="24"/>
    </row>
    <row r="74" ht="42" spans="1:7">
      <c r="A74" s="20"/>
      <c r="B74" s="31" t="s">
        <v>273</v>
      </c>
      <c r="C74" s="32"/>
      <c r="D74" s="32"/>
      <c r="E74" s="27" t="s">
        <v>230</v>
      </c>
      <c r="F74" s="20">
        <v>1</v>
      </c>
      <c r="G74" s="32" t="s">
        <v>238</v>
      </c>
    </row>
    <row r="75" spans="1:7">
      <c r="A75" s="20"/>
      <c r="B75" s="25" t="s">
        <v>274</v>
      </c>
      <c r="C75" s="32"/>
      <c r="D75" s="32"/>
      <c r="E75" s="35" t="s">
        <v>45</v>
      </c>
      <c r="F75" s="26">
        <v>1</v>
      </c>
      <c r="G75" s="32"/>
    </row>
    <row r="76" spans="1:7">
      <c r="A76" s="20"/>
      <c r="B76" s="33" t="s">
        <v>239</v>
      </c>
      <c r="C76" s="34"/>
      <c r="D76" s="34"/>
      <c r="E76" s="35" t="s">
        <v>45</v>
      </c>
      <c r="F76" s="26">
        <v>1</v>
      </c>
      <c r="G76" s="24"/>
    </row>
    <row r="77" spans="1:7">
      <c r="A77" s="39" t="s">
        <v>91</v>
      </c>
      <c r="B77" s="40" t="s">
        <v>277</v>
      </c>
      <c r="C77" s="41"/>
      <c r="D77" s="41"/>
      <c r="E77" s="42"/>
      <c r="F77" s="43"/>
      <c r="G77" s="44"/>
    </row>
    <row r="78" spans="1:7">
      <c r="A78" s="17" t="s">
        <v>19</v>
      </c>
      <c r="B78" s="18" t="s">
        <v>278</v>
      </c>
      <c r="C78" s="18"/>
      <c r="D78" s="18"/>
      <c r="E78" s="17"/>
      <c r="F78" s="17"/>
      <c r="G78" s="45"/>
    </row>
    <row r="79" spans="1:7">
      <c r="A79" s="17">
        <v>1</v>
      </c>
      <c r="B79" s="18" t="s">
        <v>279</v>
      </c>
      <c r="C79" s="18"/>
      <c r="D79" s="18"/>
      <c r="E79" s="17" t="s">
        <v>52</v>
      </c>
      <c r="F79" s="17">
        <v>2</v>
      </c>
      <c r="G79" s="19"/>
    </row>
    <row r="80" spans="1:7">
      <c r="A80" s="20"/>
      <c r="B80" s="21" t="s">
        <v>227</v>
      </c>
      <c r="C80" s="21"/>
      <c r="D80" s="21"/>
      <c r="E80" s="23"/>
      <c r="F80" s="20"/>
      <c r="G80" s="24"/>
    </row>
    <row r="81" spans="1:7">
      <c r="A81" s="20"/>
      <c r="B81" s="25" t="s">
        <v>228</v>
      </c>
      <c r="C81" s="25"/>
      <c r="D81" s="25" t="s">
        <v>229</v>
      </c>
      <c r="E81" s="27" t="s">
        <v>230</v>
      </c>
      <c r="F81" s="28">
        <v>6</v>
      </c>
      <c r="G81" s="24"/>
    </row>
    <row r="82" spans="1:7">
      <c r="A82" s="20"/>
      <c r="B82" s="29" t="s">
        <v>231</v>
      </c>
      <c r="C82" s="29" t="s">
        <v>280</v>
      </c>
      <c r="D82" s="29" t="s">
        <v>232</v>
      </c>
      <c r="E82" s="27" t="s">
        <v>42</v>
      </c>
      <c r="F82" s="28">
        <v>1</v>
      </c>
      <c r="G82" s="24"/>
    </row>
    <row r="83" spans="1:7">
      <c r="A83" s="20"/>
      <c r="B83" s="29" t="s">
        <v>245</v>
      </c>
      <c r="C83" s="29" t="s">
        <v>246</v>
      </c>
      <c r="D83" s="29" t="s">
        <v>234</v>
      </c>
      <c r="E83" s="27" t="s">
        <v>42</v>
      </c>
      <c r="F83" s="28">
        <v>3</v>
      </c>
      <c r="G83" s="24"/>
    </row>
    <row r="84" spans="1:7">
      <c r="A84" s="20"/>
      <c r="B84" s="29" t="s">
        <v>233</v>
      </c>
      <c r="C84" s="29"/>
      <c r="D84" s="29"/>
      <c r="E84" s="27" t="s">
        <v>42</v>
      </c>
      <c r="F84" s="28">
        <v>1</v>
      </c>
      <c r="G84" s="24" t="s">
        <v>281</v>
      </c>
    </row>
    <row r="85" spans="1:7">
      <c r="A85" s="20"/>
      <c r="B85" s="29" t="s">
        <v>236</v>
      </c>
      <c r="C85" s="29"/>
      <c r="D85" s="29"/>
      <c r="E85" s="27" t="s">
        <v>42</v>
      </c>
      <c r="F85" s="28">
        <v>1</v>
      </c>
      <c r="G85" s="24" t="s">
        <v>281</v>
      </c>
    </row>
    <row r="86" ht="42" spans="1:7">
      <c r="A86" s="20"/>
      <c r="B86" s="46" t="s">
        <v>282</v>
      </c>
      <c r="C86" s="46"/>
      <c r="D86" s="46"/>
      <c r="E86" s="27" t="s">
        <v>230</v>
      </c>
      <c r="F86" s="20">
        <v>1</v>
      </c>
      <c r="G86" s="46" t="s">
        <v>283</v>
      </c>
    </row>
    <row r="87" spans="1:7">
      <c r="A87" s="20"/>
      <c r="B87" s="33" t="s">
        <v>239</v>
      </c>
      <c r="C87" s="33"/>
      <c r="D87" s="33"/>
      <c r="E87" s="35" t="s">
        <v>45</v>
      </c>
      <c r="F87" s="26">
        <v>1</v>
      </c>
      <c r="G87" s="24"/>
    </row>
    <row r="88" spans="1:7">
      <c r="A88" s="17">
        <v>2</v>
      </c>
      <c r="B88" s="18" t="s">
        <v>284</v>
      </c>
      <c r="C88" s="18"/>
      <c r="D88" s="18"/>
      <c r="E88" s="17" t="s">
        <v>52</v>
      </c>
      <c r="F88" s="17">
        <v>2</v>
      </c>
      <c r="G88" s="19"/>
    </row>
    <row r="89" spans="1:7">
      <c r="A89" s="20"/>
      <c r="B89" s="21" t="s">
        <v>227</v>
      </c>
      <c r="C89" s="21"/>
      <c r="D89" s="21"/>
      <c r="E89" s="23"/>
      <c r="F89" s="20"/>
      <c r="G89" s="24"/>
    </row>
    <row r="90" spans="1:7">
      <c r="A90" s="20"/>
      <c r="B90" s="25" t="s">
        <v>241</v>
      </c>
      <c r="C90" s="25" t="s">
        <v>285</v>
      </c>
      <c r="D90" s="25" t="s">
        <v>232</v>
      </c>
      <c r="E90" s="27" t="s">
        <v>230</v>
      </c>
      <c r="F90" s="28">
        <v>1</v>
      </c>
      <c r="G90" s="24"/>
    </row>
    <row r="91" spans="1:7">
      <c r="A91" s="20"/>
      <c r="B91" s="25" t="s">
        <v>228</v>
      </c>
      <c r="C91" s="25"/>
      <c r="D91" s="25" t="s">
        <v>229</v>
      </c>
      <c r="E91" s="27" t="s">
        <v>230</v>
      </c>
      <c r="F91" s="28">
        <v>3</v>
      </c>
      <c r="G91" s="24"/>
    </row>
    <row r="92" spans="1:7">
      <c r="A92" s="20"/>
      <c r="B92" s="29" t="s">
        <v>231</v>
      </c>
      <c r="C92" s="29" t="s">
        <v>280</v>
      </c>
      <c r="D92" s="29" t="s">
        <v>232</v>
      </c>
      <c r="E92" s="27" t="s">
        <v>42</v>
      </c>
      <c r="F92" s="28">
        <v>1</v>
      </c>
      <c r="G92" s="24"/>
    </row>
    <row r="93" spans="1:7">
      <c r="A93" s="20"/>
      <c r="B93" s="29" t="s">
        <v>243</v>
      </c>
      <c r="C93" s="29"/>
      <c r="D93" s="29" t="s">
        <v>244</v>
      </c>
      <c r="E93" s="27" t="s">
        <v>42</v>
      </c>
      <c r="F93" s="28">
        <v>1</v>
      </c>
      <c r="G93" s="24"/>
    </row>
    <row r="94" spans="1:7">
      <c r="A94" s="20"/>
      <c r="B94" s="29" t="s">
        <v>245</v>
      </c>
      <c r="C94" s="29"/>
      <c r="D94" s="29" t="s">
        <v>234</v>
      </c>
      <c r="E94" s="27" t="s">
        <v>230</v>
      </c>
      <c r="F94" s="28">
        <v>1</v>
      </c>
      <c r="G94" s="24"/>
    </row>
    <row r="95" spans="1:7">
      <c r="A95" s="20"/>
      <c r="B95" s="21" t="s">
        <v>247</v>
      </c>
      <c r="C95" s="21"/>
      <c r="D95" s="21"/>
      <c r="E95" s="23"/>
      <c r="F95" s="20"/>
      <c r="G95" s="24"/>
    </row>
    <row r="96" spans="1:7">
      <c r="A96" s="20"/>
      <c r="B96" s="25" t="s">
        <v>286</v>
      </c>
      <c r="C96" s="25" t="s">
        <v>287</v>
      </c>
      <c r="D96" s="25" t="s">
        <v>232</v>
      </c>
      <c r="E96" s="27" t="s">
        <v>230</v>
      </c>
      <c r="F96" s="28">
        <v>1</v>
      </c>
      <c r="G96" s="24"/>
    </row>
    <row r="97" spans="1:7">
      <c r="A97" s="20"/>
      <c r="B97" s="25" t="s">
        <v>288</v>
      </c>
      <c r="C97" s="25" t="s">
        <v>289</v>
      </c>
      <c r="D97" s="25" t="s">
        <v>232</v>
      </c>
      <c r="E97" s="27" t="s">
        <v>230</v>
      </c>
      <c r="F97" s="28">
        <v>1</v>
      </c>
      <c r="G97" s="24"/>
    </row>
    <row r="98" spans="1:7">
      <c r="A98" s="20"/>
      <c r="B98" s="25" t="s">
        <v>252</v>
      </c>
      <c r="C98" s="25" t="s">
        <v>253</v>
      </c>
      <c r="D98" s="25" t="s">
        <v>232</v>
      </c>
      <c r="E98" s="27" t="s">
        <v>230</v>
      </c>
      <c r="F98" s="28">
        <v>1</v>
      </c>
      <c r="G98" s="24"/>
    </row>
    <row r="99" spans="1:7">
      <c r="A99" s="20"/>
      <c r="B99" s="29" t="s">
        <v>290</v>
      </c>
      <c r="C99" s="29" t="s">
        <v>257</v>
      </c>
      <c r="D99" s="29" t="s">
        <v>258</v>
      </c>
      <c r="E99" s="27" t="s">
        <v>230</v>
      </c>
      <c r="F99" s="28">
        <v>1</v>
      </c>
      <c r="G99" s="24"/>
    </row>
    <row r="100" spans="1:7">
      <c r="A100" s="20"/>
      <c r="B100" s="25" t="s">
        <v>291</v>
      </c>
      <c r="C100" s="25"/>
      <c r="D100" s="25" t="s">
        <v>229</v>
      </c>
      <c r="E100" s="27" t="s">
        <v>230</v>
      </c>
      <c r="F100" s="28">
        <v>4</v>
      </c>
      <c r="G100" s="24"/>
    </row>
    <row r="101" spans="1:7">
      <c r="A101" s="20"/>
      <c r="B101" s="25" t="s">
        <v>292</v>
      </c>
      <c r="C101" s="25"/>
      <c r="D101" s="25"/>
      <c r="E101" s="27" t="s">
        <v>230</v>
      </c>
      <c r="F101" s="28">
        <v>1</v>
      </c>
      <c r="G101" s="24"/>
    </row>
    <row r="102" ht="42" spans="1:7">
      <c r="A102" s="20"/>
      <c r="B102" s="46" t="s">
        <v>276</v>
      </c>
      <c r="C102" s="46"/>
      <c r="D102" s="46"/>
      <c r="E102" s="27" t="s">
        <v>230</v>
      </c>
      <c r="F102" s="20">
        <v>1</v>
      </c>
      <c r="G102" s="46" t="s">
        <v>283</v>
      </c>
    </row>
    <row r="103" spans="1:7">
      <c r="A103" s="20"/>
      <c r="B103" s="33" t="s">
        <v>239</v>
      </c>
      <c r="C103" s="33"/>
      <c r="D103" s="33"/>
      <c r="E103" s="35" t="s">
        <v>45</v>
      </c>
      <c r="F103" s="26">
        <v>1</v>
      </c>
      <c r="G103" s="24"/>
    </row>
    <row r="104" spans="1:7">
      <c r="A104" s="17">
        <v>3</v>
      </c>
      <c r="B104" s="18" t="s">
        <v>293</v>
      </c>
      <c r="C104" s="18"/>
      <c r="D104" s="18"/>
      <c r="E104" s="17" t="s">
        <v>52</v>
      </c>
      <c r="F104" s="17">
        <v>2</v>
      </c>
      <c r="G104" s="19"/>
    </row>
    <row r="105" spans="1:7">
      <c r="A105" s="20"/>
      <c r="B105" s="21" t="s">
        <v>247</v>
      </c>
      <c r="C105" s="21"/>
      <c r="D105" s="21"/>
      <c r="E105" s="23"/>
      <c r="F105" s="20"/>
      <c r="G105" s="24"/>
    </row>
    <row r="106" spans="1:7">
      <c r="A106" s="20"/>
      <c r="B106" s="31" t="s">
        <v>262</v>
      </c>
      <c r="C106" s="31" t="s">
        <v>249</v>
      </c>
      <c r="D106" s="26" t="s">
        <v>232</v>
      </c>
      <c r="E106" s="27" t="s">
        <v>230</v>
      </c>
      <c r="F106" s="28">
        <v>1</v>
      </c>
      <c r="G106" s="24"/>
    </row>
    <row r="107" spans="1:7">
      <c r="A107" s="20"/>
      <c r="B107" s="31" t="s">
        <v>294</v>
      </c>
      <c r="C107" s="31" t="s">
        <v>265</v>
      </c>
      <c r="D107" s="26" t="s">
        <v>232</v>
      </c>
      <c r="E107" s="27" t="s">
        <v>230</v>
      </c>
      <c r="F107" s="28">
        <v>12</v>
      </c>
      <c r="G107" s="24"/>
    </row>
    <row r="108" spans="1:7">
      <c r="A108" s="20"/>
      <c r="B108" s="31" t="s">
        <v>266</v>
      </c>
      <c r="C108" s="31" t="s">
        <v>267</v>
      </c>
      <c r="D108" s="26" t="s">
        <v>232</v>
      </c>
      <c r="E108" s="27" t="s">
        <v>230</v>
      </c>
      <c r="F108" s="28">
        <v>12</v>
      </c>
      <c r="G108" s="24"/>
    </row>
    <row r="109" ht="15.5" spans="1:7">
      <c r="A109" s="20"/>
      <c r="B109" s="31" t="s">
        <v>268</v>
      </c>
      <c r="C109" s="36" t="s">
        <v>269</v>
      </c>
      <c r="D109" s="36" t="s">
        <v>258</v>
      </c>
      <c r="E109" s="27" t="s">
        <v>230</v>
      </c>
      <c r="F109" s="28">
        <v>5</v>
      </c>
      <c r="G109" s="24"/>
    </row>
    <row r="110" spans="1:7">
      <c r="A110" s="20"/>
      <c r="B110" s="31" t="s">
        <v>270</v>
      </c>
      <c r="C110" s="31"/>
      <c r="D110" s="26" t="s">
        <v>229</v>
      </c>
      <c r="E110" s="27" t="s">
        <v>230</v>
      </c>
      <c r="F110" s="28">
        <v>3</v>
      </c>
      <c r="G110" s="24"/>
    </row>
    <row r="111" spans="1:7">
      <c r="A111" s="20"/>
      <c r="B111" s="31" t="s">
        <v>271</v>
      </c>
      <c r="C111" s="31" t="s">
        <v>295</v>
      </c>
      <c r="D111" s="32" t="s">
        <v>272</v>
      </c>
      <c r="E111" s="27" t="s">
        <v>230</v>
      </c>
      <c r="F111" s="28">
        <v>1</v>
      </c>
      <c r="G111" s="24"/>
    </row>
    <row r="112" ht="42" spans="1:7">
      <c r="A112" s="20"/>
      <c r="B112" s="46" t="s">
        <v>296</v>
      </c>
      <c r="C112" s="46"/>
      <c r="D112" s="46"/>
      <c r="E112" s="27" t="s">
        <v>230</v>
      </c>
      <c r="F112" s="20">
        <v>1</v>
      </c>
      <c r="G112" s="46" t="s">
        <v>283</v>
      </c>
    </row>
    <row r="113" spans="1:7">
      <c r="A113" s="20"/>
      <c r="B113" s="25" t="s">
        <v>274</v>
      </c>
      <c r="C113" s="25"/>
      <c r="D113" s="25"/>
      <c r="E113" s="27" t="s">
        <v>230</v>
      </c>
      <c r="F113" s="28">
        <v>1</v>
      </c>
      <c r="G113" s="24"/>
    </row>
    <row r="114" spans="1:7">
      <c r="A114" s="47"/>
      <c r="B114" s="48" t="s">
        <v>239</v>
      </c>
      <c r="C114" s="48"/>
      <c r="D114" s="48"/>
      <c r="E114" s="49" t="s">
        <v>45</v>
      </c>
      <c r="F114" s="50">
        <v>1</v>
      </c>
      <c r="G114" s="51"/>
    </row>
  </sheetData>
  <mergeCells count="1">
    <mergeCell ref="A1:G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BOQ</vt:lpstr>
      <vt:lpstr>CHI TIẾT TỦ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sang</dc:creator>
  <cp:lastModifiedBy>Toàn Mr.</cp:lastModifiedBy>
  <dcterms:created xsi:type="dcterms:W3CDTF">2016-10-08T05:59:00Z</dcterms:created>
  <cp:lastPrinted>2023-07-31T07:31:00Z</cp:lastPrinted>
  <dcterms:modified xsi:type="dcterms:W3CDTF">2026-08-06T01:45:36Z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15B2365C5B454F189F034DA97F442428_12</vt:lpwstr>
  </property>
  <property fmtid="{D5CDD505-2E9C-101B-9397-08002B2CF9AE}" pid="3" name="KSOProductBuildVer">
    <vt:lpwstr>1033-12.1.0.28032</vt:lpwstr>
  </property>
  <property fmtid="{D5CDD505-2E9C-101B-9397-08002B2CF9AE}" pid="4" name="CalculationRule">
    <vt:i4>0</vt:i4>
  </property>
</Properties>
</file>